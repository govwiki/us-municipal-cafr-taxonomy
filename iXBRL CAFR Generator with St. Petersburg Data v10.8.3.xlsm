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3.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stp_0702\"/>
    </mc:Choice>
  </mc:AlternateContent>
  <xr:revisionPtr revIDLastSave="0" documentId="13_ncr:1_{E06810B4-9671-4CF2-ACCB-B82D4DCF2B3D}" xr6:coauthVersionLast="34" xr6:coauthVersionMax="34" xr10:uidLastSave="{00000000-0000-0000-0000-000000000000}"/>
  <bookViews>
    <workbookView xWindow="0" yWindow="0" windowWidth="15330" windowHeight="4335" tabRatio="914" xr2:uid="{00000000-000D-0000-FFFF-FFFF00000000}"/>
  </bookViews>
  <sheets>
    <sheet name="General Info" sheetId="19" r:id="rId1"/>
    <sheet name="Statement of Net Position" sheetId="20" r:id="rId2"/>
    <sheet name="Statement of Activities" sheetId="21" r:id="rId3"/>
    <sheet name="Governmental Fund Balance Sheet" sheetId="22" r:id="rId4"/>
    <sheet name="Gov Fund Stmt of Rev Exp &amp; Bal" sheetId="23" r:id="rId5"/>
    <sheet name="Budget and Actual General Fund" sheetId="1" r:id="rId6"/>
    <sheet name="B&amp;A Community Redevelopment" sheetId="2" r:id="rId7"/>
    <sheet name="B&amp;A Downtown Redevelopment" sheetId="3" r:id="rId8"/>
    <sheet name="Budget and Actual Grants" sheetId="27" r:id="rId9"/>
    <sheet name="Prop Fund Stmt of Net Position" sheetId="24" r:id="rId10"/>
    <sheet name="Prop Fund Stmt Rev Exp &amp; Bal" sheetId="25" r:id="rId11"/>
    <sheet name="Stmt of Cash Flow - Prop Funds" sheetId="26" r:id="rId12"/>
    <sheet name="Footnotes 18-22" sheetId="29" r:id="rId13"/>
    <sheet name="TextBlock" sheetId="34" state="hidden" r:id="rId14"/>
    <sheet name="OPEB" sheetId="30" state="hidden" r:id="rId15"/>
    <sheet name="Taxonomy" sheetId="33" state="hidden" r:id="rId16"/>
    <sheet name="Stmt of dtl of Tax Abatements" sheetId="36" r:id="rId17"/>
    <sheet name="Combining Statement" sheetId="31" r:id="rId18"/>
    <sheet name="Pension Trust" sheetId="32" r:id="rId19"/>
    <sheet name="LONG - TERM OBLIGATIONS" sheetId="4" r:id="rId20"/>
    <sheet name="Footnotes" sheetId="28" state="hidden" r:id="rId21"/>
    <sheet name="RSI Employees' Retirement" sheetId="8" r:id="rId22"/>
    <sheet name="RSI Firefighters' Retirement" sheetId="6" r:id="rId23"/>
    <sheet name="RSI Police Officers Retirement " sheetId="5" r:id="rId24"/>
    <sheet name="RSI Pension Contributions" sheetId="9" r:id="rId25"/>
    <sheet name="Net Position By Component 10 Yr" sheetId="10" r:id="rId26"/>
    <sheet name="Changes in Net Position 10 Yr " sheetId="11" r:id="rId27"/>
    <sheet name="Fund Balances, Gov Funds 10 Yr" sheetId="12" r:id="rId28"/>
    <sheet name="Changes in Fund Balances 10Yr " sheetId="13" r:id="rId29"/>
    <sheet name="Ratio of Outstanding Debt 10Yr" sheetId="14" r:id="rId30"/>
    <sheet name="Ratio of Net Gen Bond Debt 10Yr" sheetId="15" r:id="rId31"/>
    <sheet name="Direct and Overlapping Debt" sheetId="16" r:id="rId32"/>
    <sheet name="Legal Debt Margin 10Yr" sheetId="17" r:id="rId33"/>
    <sheet name="Pledged-Revenue Coverage 5Yr" sheetId="18" r:id="rId34"/>
  </sheets>
  <functionGroups builtInGroupCount="19"/>
  <definedNames>
    <definedName name="_xlnm._FilterDatabase" localSheetId="15" hidden="1">Taxonomy!$A$1:$E$863</definedName>
    <definedName name="FootnotesDocFileName">'Footnotes 18-22'!$P$3</definedName>
    <definedName name="Input_file" localSheetId="20">Footnotes!$C$5</definedName>
    <definedName name="UntaggedTextFileName">'General Info'!$E$12</definedName>
  </definedNames>
  <calcPr calcId="179017" calcMode="manual"/>
</workbook>
</file>

<file path=xl/calcChain.xml><?xml version="1.0" encoding="utf-8"?>
<calcChain xmlns="http://schemas.openxmlformats.org/spreadsheetml/2006/main">
  <c r="B548" i="33" l="1"/>
  <c r="H24" i="1"/>
  <c r="I53" i="1"/>
  <c r="I36" i="26"/>
  <c r="J36" i="26"/>
  <c r="K36" i="26"/>
  <c r="L36" i="26"/>
  <c r="N36" i="26"/>
  <c r="H36" i="26"/>
  <c r="I18" i="26"/>
  <c r="J18" i="26"/>
  <c r="K18" i="26"/>
  <c r="L18" i="26"/>
  <c r="N18" i="26"/>
  <c r="H18" i="26"/>
  <c r="I24" i="26" l="1"/>
  <c r="J24" i="26"/>
  <c r="K24" i="26"/>
  <c r="L24" i="26"/>
  <c r="N24" i="26"/>
  <c r="H24" i="26"/>
  <c r="F17" i="8"/>
  <c r="G17" i="8"/>
  <c r="H17" i="8"/>
  <c r="E17" i="8"/>
  <c r="F28" i="8"/>
  <c r="G28" i="8"/>
  <c r="H28" i="8"/>
  <c r="E28" i="8"/>
  <c r="F28" i="6" l="1"/>
  <c r="G28" i="6"/>
  <c r="H28" i="6"/>
  <c r="E28" i="6"/>
  <c r="F17" i="6"/>
  <c r="G17" i="6"/>
  <c r="H17" i="6"/>
  <c r="E17" i="6"/>
  <c r="G23" i="32"/>
  <c r="H23" i="32"/>
  <c r="F23" i="32"/>
  <c r="G79" i="13"/>
  <c r="H79" i="13"/>
  <c r="I79" i="13"/>
  <c r="J79" i="13"/>
  <c r="K79" i="13"/>
  <c r="L79" i="13"/>
  <c r="M79" i="13"/>
  <c r="N79" i="13"/>
  <c r="O79" i="13"/>
  <c r="F79" i="13"/>
  <c r="H16" i="2"/>
  <c r="G16" i="2"/>
  <c r="I15" i="2"/>
  <c r="I65" i="23"/>
  <c r="J65" i="23"/>
  <c r="K65" i="23"/>
  <c r="L65" i="23"/>
  <c r="M65" i="23"/>
  <c r="N65" i="23"/>
  <c r="O65" i="23"/>
  <c r="P65" i="23"/>
  <c r="Q65" i="23"/>
  <c r="R65" i="23"/>
  <c r="H65" i="23"/>
  <c r="I45" i="25" l="1"/>
  <c r="J45" i="25"/>
  <c r="K45" i="25"/>
  <c r="L45" i="25"/>
  <c r="N45" i="25"/>
  <c r="H45" i="25"/>
  <c r="I36" i="25"/>
  <c r="J36" i="25"/>
  <c r="K36" i="25"/>
  <c r="L36" i="25"/>
  <c r="N36" i="25"/>
  <c r="H36" i="25"/>
  <c r="H28" i="27"/>
  <c r="G28" i="27"/>
  <c r="F28" i="27"/>
  <c r="J19" i="3"/>
  <c r="H20" i="3"/>
  <c r="I20" i="3"/>
  <c r="G20" i="3"/>
  <c r="F28" i="5"/>
  <c r="G28" i="5"/>
  <c r="H28" i="5"/>
  <c r="E28" i="5"/>
  <c r="F17" i="5"/>
  <c r="G17" i="5"/>
  <c r="H17" i="5"/>
  <c r="E17" i="5"/>
  <c r="B560" i="33"/>
  <c r="B567" i="33"/>
  <c r="B568" i="33"/>
  <c r="B553" i="33"/>
  <c r="B552" i="33"/>
  <c r="B551" i="33"/>
  <c r="B550" i="33"/>
  <c r="B549" i="33"/>
  <c r="B545" i="33"/>
  <c r="B544" i="33"/>
  <c r="B543" i="33"/>
  <c r="B542" i="33"/>
  <c r="B541" i="33"/>
  <c r="B540" i="33"/>
  <c r="B539" i="33"/>
  <c r="B538" i="33"/>
  <c r="B537" i="33"/>
  <c r="B536" i="33"/>
  <c r="B534" i="33"/>
  <c r="B533" i="33"/>
  <c r="B532" i="33"/>
  <c r="B426" i="33" l="1"/>
  <c r="B433" i="33"/>
  <c r="B432" i="33"/>
  <c r="B431" i="33"/>
  <c r="B430" i="33"/>
  <c r="B429" i="33"/>
  <c r="B428" i="33"/>
  <c r="B427"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32" i="33"/>
  <c r="G26" i="31"/>
  <c r="H26" i="31"/>
  <c r="I26" i="31"/>
  <c r="F26" i="31"/>
  <c r="G17" i="31"/>
  <c r="H17" i="31"/>
  <c r="I17" i="31"/>
  <c r="F17" i="31"/>
  <c r="G30" i="32" l="1"/>
  <c r="H30" i="32"/>
  <c r="F30" i="32"/>
  <c r="I33" i="32"/>
  <c r="I32" i="32"/>
  <c r="I31" i="32"/>
  <c r="I29" i="32"/>
  <c r="I28" i="32"/>
  <c r="I27" i="32"/>
  <c r="I26" i="32"/>
  <c r="I24" i="32"/>
  <c r="I22" i="32"/>
  <c r="I23" i="32" s="1"/>
  <c r="I16" i="32"/>
  <c r="I15" i="32"/>
  <c r="I14" i="32"/>
  <c r="I13" i="32"/>
  <c r="I21" i="32"/>
  <c r="I20" i="32"/>
  <c r="I19" i="32"/>
  <c r="I18" i="32"/>
  <c r="S15" i="30"/>
  <c r="P15" i="30"/>
  <c r="S14" i="30"/>
  <c r="P14" i="30"/>
  <c r="S13" i="30"/>
  <c r="P13" i="30"/>
  <c r="S12" i="30"/>
  <c r="P12" i="30"/>
  <c r="S11" i="30"/>
  <c r="P11" i="30"/>
  <c r="S10" i="30"/>
  <c r="P10" i="30"/>
  <c r="S9" i="30"/>
  <c r="P9" i="30"/>
  <c r="I30" i="32" l="1"/>
  <c r="B128" i="33"/>
  <c r="B127" i="33"/>
  <c r="B126" i="33"/>
  <c r="B125" i="33"/>
  <c r="B124" i="33"/>
  <c r="B123" i="33"/>
  <c r="B122" i="33"/>
  <c r="O38" i="21" l="1"/>
  <c r="H54" i="18" l="1"/>
  <c r="K54" i="18" s="1"/>
  <c r="H53" i="18"/>
  <c r="K53" i="18" s="1"/>
  <c r="H52" i="18"/>
  <c r="K52" i="18" s="1"/>
  <c r="H51" i="18"/>
  <c r="K51" i="18" s="1"/>
  <c r="H50" i="18"/>
  <c r="K50" i="18" s="1"/>
  <c r="I30" i="1" l="1"/>
  <c r="I26" i="1"/>
  <c r="I25" i="1"/>
  <c r="I23" i="1"/>
  <c r="I21" i="1"/>
  <c r="I20" i="1"/>
  <c r="I18" i="1"/>
  <c r="I17" i="1"/>
  <c r="I16" i="1"/>
  <c r="I15" i="1"/>
  <c r="I14" i="1"/>
  <c r="J73" i="20"/>
  <c r="J70" i="20"/>
  <c r="J67" i="20"/>
  <c r="J66" i="20"/>
  <c r="J65" i="20"/>
  <c r="J64" i="20"/>
  <c r="J61" i="20"/>
  <c r="J58" i="20"/>
  <c r="J54" i="20"/>
  <c r="J53" i="20"/>
  <c r="J52" i="20"/>
  <c r="J51" i="20"/>
  <c r="J48" i="20"/>
  <c r="J47" i="20"/>
  <c r="J46" i="20"/>
  <c r="J45" i="20"/>
  <c r="J44" i="20"/>
  <c r="J41" i="20"/>
  <c r="J40" i="20"/>
  <c r="J36" i="20"/>
  <c r="J35" i="20"/>
  <c r="J34" i="20"/>
  <c r="J33" i="20"/>
  <c r="J30" i="20"/>
  <c r="J29" i="20"/>
  <c r="J27" i="20"/>
  <c r="J25" i="20"/>
  <c r="J24" i="20"/>
  <c r="J22" i="20"/>
  <c r="J21" i="20"/>
  <c r="J20" i="20"/>
  <c r="J19" i="20"/>
  <c r="J18" i="20"/>
  <c r="J16" i="20"/>
  <c r="J15" i="20"/>
  <c r="J14" i="20"/>
  <c r="L35" i="14" l="1"/>
  <c r="L34" i="14"/>
  <c r="G47" i="14" s="1"/>
  <c r="L33" i="14"/>
  <c r="G46" i="14" s="1"/>
  <c r="L32" i="14"/>
  <c r="G45" i="14" s="1"/>
  <c r="L31" i="14"/>
  <c r="L30" i="14"/>
  <c r="L29" i="14"/>
  <c r="G42" i="14" s="1"/>
  <c r="L28" i="14"/>
  <c r="G41" i="14" s="1"/>
  <c r="L27" i="14"/>
  <c r="L26" i="14"/>
  <c r="G39" i="14" s="1"/>
  <c r="I15" i="17"/>
  <c r="I17" i="17" s="1"/>
  <c r="K41" i="14" l="1"/>
  <c r="K42" i="14"/>
  <c r="K46" i="14"/>
  <c r="K45" i="14"/>
  <c r="G43" i="14"/>
  <c r="K39" i="14"/>
  <c r="K43" i="14"/>
  <c r="K47" i="14"/>
  <c r="G40" i="14"/>
  <c r="G44" i="14"/>
  <c r="G48" i="14"/>
  <c r="K40" i="14"/>
  <c r="K44" i="14"/>
  <c r="K48" i="14"/>
  <c r="I7" i="31"/>
  <c r="S57" i="22" l="1"/>
  <c r="S56" i="22"/>
  <c r="S55" i="22"/>
  <c r="S54" i="22"/>
  <c r="S53" i="22"/>
  <c r="S50" i="22"/>
  <c r="S49" i="22"/>
  <c r="S48" i="22"/>
  <c r="S47" i="22"/>
  <c r="S44" i="22"/>
  <c r="S43" i="22"/>
  <c r="S42" i="22"/>
  <c r="S41" i="22"/>
  <c r="S40" i="22"/>
  <c r="S39" i="22"/>
  <c r="S38" i="22"/>
  <c r="S34" i="22"/>
  <c r="S33" i="22"/>
  <c r="S32" i="22"/>
  <c r="S30" i="22"/>
  <c r="S29" i="22"/>
  <c r="S28" i="22"/>
  <c r="S27" i="22"/>
  <c r="S26" i="22"/>
  <c r="S24" i="22"/>
  <c r="S22" i="22"/>
  <c r="S21" i="22"/>
  <c r="S20" i="22"/>
  <c r="S19" i="22"/>
  <c r="S18" i="22"/>
  <c r="S16" i="22"/>
  <c r="S15" i="22"/>
  <c r="S14" i="22"/>
  <c r="S13" i="22"/>
  <c r="M89" i="24"/>
  <c r="M87" i="24"/>
  <c r="M85" i="24"/>
  <c r="M82" i="24"/>
  <c r="M78" i="24"/>
  <c r="M77" i="24"/>
  <c r="M76" i="24"/>
  <c r="M75" i="24"/>
  <c r="M74" i="24"/>
  <c r="M73" i="24"/>
  <c r="M72" i="24"/>
  <c r="M71" i="24"/>
  <c r="M70" i="24"/>
  <c r="M67" i="24"/>
  <c r="M66" i="24"/>
  <c r="M65" i="24"/>
  <c r="M63" i="24"/>
  <c r="M62" i="24"/>
  <c r="M60" i="24"/>
  <c r="M59" i="24"/>
  <c r="M58" i="24"/>
  <c r="M57" i="24"/>
  <c r="M56" i="24"/>
  <c r="M55" i="24"/>
  <c r="M54" i="24"/>
  <c r="M53" i="24"/>
  <c r="M49" i="24"/>
  <c r="M48" i="24"/>
  <c r="M43" i="24"/>
  <c r="M42" i="24"/>
  <c r="M41" i="24"/>
  <c r="M40" i="24"/>
  <c r="M39" i="24"/>
  <c r="M38" i="24"/>
  <c r="M37" i="24"/>
  <c r="M34" i="24"/>
  <c r="M33" i="24"/>
  <c r="M32" i="24"/>
  <c r="M31" i="24"/>
  <c r="M28" i="24"/>
  <c r="M27" i="24"/>
  <c r="M25" i="24"/>
  <c r="M24" i="24"/>
  <c r="M23" i="24"/>
  <c r="M20" i="24"/>
  <c r="M19" i="24"/>
  <c r="M18" i="24"/>
  <c r="M16" i="24"/>
  <c r="M15" i="24"/>
  <c r="I88" i="24"/>
  <c r="I90" i="24" s="1"/>
  <c r="J88" i="24"/>
  <c r="J90" i="24" s="1"/>
  <c r="K88" i="24"/>
  <c r="K90" i="24" s="1"/>
  <c r="L88" i="24"/>
  <c r="L90" i="24" s="1"/>
  <c r="N88" i="24"/>
  <c r="N90" i="24" s="1"/>
  <c r="H88" i="24"/>
  <c r="H90" i="24" s="1"/>
  <c r="I83" i="24"/>
  <c r="J83" i="24"/>
  <c r="K83" i="24"/>
  <c r="L83" i="24"/>
  <c r="N83" i="24"/>
  <c r="H83" i="24"/>
  <c r="I79" i="24"/>
  <c r="J79" i="24"/>
  <c r="K79" i="24"/>
  <c r="L79" i="24"/>
  <c r="N79" i="24"/>
  <c r="H79" i="24"/>
  <c r="I64" i="24"/>
  <c r="I68" i="24" s="1"/>
  <c r="J64" i="24"/>
  <c r="J68" i="24" s="1"/>
  <c r="J80" i="24" s="1"/>
  <c r="K64" i="24"/>
  <c r="K68" i="24" s="1"/>
  <c r="K80" i="24" s="1"/>
  <c r="L64" i="24"/>
  <c r="L68" i="24" s="1"/>
  <c r="N64" i="24"/>
  <c r="N68" i="24" s="1"/>
  <c r="H64" i="24"/>
  <c r="I50" i="24"/>
  <c r="J50" i="24"/>
  <c r="K50" i="24"/>
  <c r="L50" i="24"/>
  <c r="N50" i="24"/>
  <c r="H50" i="24"/>
  <c r="I44" i="24"/>
  <c r="J44" i="24"/>
  <c r="K44" i="24"/>
  <c r="L44" i="24"/>
  <c r="N44" i="24"/>
  <c r="H44" i="24"/>
  <c r="I35" i="24"/>
  <c r="J35" i="24"/>
  <c r="K35" i="24"/>
  <c r="L35" i="24"/>
  <c r="N35" i="24"/>
  <c r="H35" i="24"/>
  <c r="I26" i="24"/>
  <c r="J26" i="24"/>
  <c r="K26" i="24"/>
  <c r="L26" i="24"/>
  <c r="N26" i="24"/>
  <c r="H26" i="24"/>
  <c r="I21" i="24"/>
  <c r="J21" i="24"/>
  <c r="K21" i="24"/>
  <c r="L21" i="24"/>
  <c r="N21" i="24"/>
  <c r="H21" i="24"/>
  <c r="M51" i="25"/>
  <c r="M47" i="25"/>
  <c r="M44" i="25"/>
  <c r="M43" i="25"/>
  <c r="M41" i="25"/>
  <c r="M40" i="25"/>
  <c r="M39" i="25"/>
  <c r="M45" i="25" s="1"/>
  <c r="M35" i="25"/>
  <c r="M34" i="25"/>
  <c r="M33" i="25"/>
  <c r="M32" i="25"/>
  <c r="M31" i="25"/>
  <c r="M30" i="25"/>
  <c r="M29" i="25"/>
  <c r="I26" i="25"/>
  <c r="J26" i="25"/>
  <c r="K26" i="25"/>
  <c r="L26" i="25"/>
  <c r="N26" i="25"/>
  <c r="H26" i="25"/>
  <c r="M25" i="25"/>
  <c r="M24" i="25"/>
  <c r="M23" i="25"/>
  <c r="M22" i="25"/>
  <c r="M19" i="25"/>
  <c r="M18" i="25"/>
  <c r="M17" i="25"/>
  <c r="M16" i="25"/>
  <c r="M15" i="25"/>
  <c r="M14" i="25"/>
  <c r="I20" i="25"/>
  <c r="I27" i="25" s="1"/>
  <c r="J20" i="25"/>
  <c r="J27" i="25" s="1"/>
  <c r="K20" i="25"/>
  <c r="K27" i="25" s="1"/>
  <c r="L20" i="25"/>
  <c r="L27" i="25" s="1"/>
  <c r="N20" i="25"/>
  <c r="N27" i="25" s="1"/>
  <c r="N37" i="25" s="1"/>
  <c r="H20" i="25"/>
  <c r="H27" i="25" s="1"/>
  <c r="N58" i="26"/>
  <c r="N59" i="26" s="1"/>
  <c r="L58" i="26"/>
  <c r="L59" i="26" s="1"/>
  <c r="K58" i="26"/>
  <c r="K59" i="26" s="1"/>
  <c r="J58" i="26"/>
  <c r="J59" i="26" s="1"/>
  <c r="I58" i="26"/>
  <c r="I59" i="26" s="1"/>
  <c r="H58" i="26"/>
  <c r="H59" i="26" s="1"/>
  <c r="H60" i="26" s="1"/>
  <c r="M57" i="26"/>
  <c r="M56" i="26"/>
  <c r="M55" i="26"/>
  <c r="M54" i="26"/>
  <c r="M53" i="26"/>
  <c r="M51" i="26"/>
  <c r="M50" i="26"/>
  <c r="M49" i="26"/>
  <c r="M47" i="26"/>
  <c r="M43" i="26"/>
  <c r="N41" i="26"/>
  <c r="L41" i="26"/>
  <c r="K41" i="26"/>
  <c r="J41" i="26"/>
  <c r="I41" i="26"/>
  <c r="H41" i="26"/>
  <c r="M40" i="26"/>
  <c r="M39" i="26"/>
  <c r="M35" i="26"/>
  <c r="M34" i="26"/>
  <c r="M33" i="26"/>
  <c r="M32" i="26"/>
  <c r="M31" i="26"/>
  <c r="M30" i="26"/>
  <c r="M29" i="26"/>
  <c r="M28" i="26"/>
  <c r="M27" i="26"/>
  <c r="M26" i="26"/>
  <c r="N37" i="26"/>
  <c r="L37" i="26"/>
  <c r="K37" i="26"/>
  <c r="J37" i="26"/>
  <c r="I37" i="26"/>
  <c r="H37" i="26"/>
  <c r="M23" i="26"/>
  <c r="M22" i="26"/>
  <c r="M21" i="26"/>
  <c r="M20" i="26"/>
  <c r="M17" i="26"/>
  <c r="M16" i="26"/>
  <c r="M15" i="26"/>
  <c r="M14" i="26"/>
  <c r="N29" i="24" l="1"/>
  <c r="L29" i="24"/>
  <c r="N45" i="24"/>
  <c r="L45" i="24"/>
  <c r="I45" i="24"/>
  <c r="M36" i="25"/>
  <c r="M24" i="26"/>
  <c r="M36" i="26"/>
  <c r="M18" i="26"/>
  <c r="N42" i="26"/>
  <c r="N44" i="26" s="1"/>
  <c r="J42" i="26"/>
  <c r="J44" i="26" s="1"/>
  <c r="L37" i="25"/>
  <c r="L46" i="25" s="1"/>
  <c r="L48" i="25" s="1"/>
  <c r="I37" i="25"/>
  <c r="I46" i="25" s="1"/>
  <c r="I48" i="25" s="1"/>
  <c r="N46" i="25"/>
  <c r="N48" i="25" s="1"/>
  <c r="M26" i="24"/>
  <c r="M44" i="24"/>
  <c r="M64" i="24"/>
  <c r="M68" i="24" s="1"/>
  <c r="M83" i="24"/>
  <c r="K37" i="25"/>
  <c r="K46" i="25" s="1"/>
  <c r="K48" i="25" s="1"/>
  <c r="K45" i="24"/>
  <c r="N80" i="24"/>
  <c r="I80" i="24"/>
  <c r="H37" i="25"/>
  <c r="H46" i="25" s="1"/>
  <c r="H48" i="25" s="1"/>
  <c r="J37" i="25"/>
  <c r="J46" i="25" s="1"/>
  <c r="J48" i="25" s="1"/>
  <c r="M21" i="24"/>
  <c r="J29" i="24"/>
  <c r="M35" i="24"/>
  <c r="J45" i="24"/>
  <c r="M50" i="24"/>
  <c r="L80" i="24"/>
  <c r="M79" i="24"/>
  <c r="M90" i="24"/>
  <c r="M92" i="24" s="1"/>
  <c r="H42" i="26"/>
  <c r="H44" i="26" s="1"/>
  <c r="L42" i="26"/>
  <c r="L44" i="26" s="1"/>
  <c r="M41" i="26"/>
  <c r="M58" i="26"/>
  <c r="M59" i="26" s="1"/>
  <c r="M26" i="25"/>
  <c r="I29" i="24"/>
  <c r="I46" i="24" s="1"/>
  <c r="H68" i="24"/>
  <c r="H80" i="24" s="1"/>
  <c r="H45" i="24"/>
  <c r="M88" i="24"/>
  <c r="K29" i="24"/>
  <c r="H29" i="24"/>
  <c r="M20" i="25"/>
  <c r="I42" i="26"/>
  <c r="I44" i="26" s="1"/>
  <c r="K42" i="26"/>
  <c r="K44" i="26" s="1"/>
  <c r="L46" i="24" l="1"/>
  <c r="M29" i="24"/>
  <c r="M46" i="24" s="1"/>
  <c r="N46" i="24"/>
  <c r="M45" i="24"/>
  <c r="K46" i="24"/>
  <c r="M37" i="26"/>
  <c r="M42" i="26" s="1"/>
  <c r="M44" i="26" s="1"/>
  <c r="M80" i="24"/>
  <c r="M37" i="25"/>
  <c r="M46" i="25" s="1"/>
  <c r="M48" i="25" s="1"/>
  <c r="H46" i="24"/>
  <c r="J46" i="24"/>
  <c r="M27" i="25"/>
  <c r="I68" i="20"/>
  <c r="J68" i="20"/>
  <c r="K68" i="20"/>
  <c r="H68" i="20"/>
  <c r="I71" i="20"/>
  <c r="J71" i="20"/>
  <c r="K71" i="20"/>
  <c r="H71" i="20"/>
  <c r="I59" i="20"/>
  <c r="J59" i="20"/>
  <c r="K59" i="20"/>
  <c r="H59" i="20"/>
  <c r="I55" i="20"/>
  <c r="I56" i="20" s="1"/>
  <c r="K55" i="20"/>
  <c r="K56" i="20" s="1"/>
  <c r="H55" i="20"/>
  <c r="H56" i="20" s="1"/>
  <c r="I42" i="20"/>
  <c r="J42" i="20"/>
  <c r="K42" i="20"/>
  <c r="H42" i="20"/>
  <c r="H37" i="20"/>
  <c r="I31" i="20"/>
  <c r="J31" i="20"/>
  <c r="K31" i="20"/>
  <c r="H31" i="20"/>
  <c r="I26" i="20"/>
  <c r="J26" i="20"/>
  <c r="K26" i="20"/>
  <c r="H26" i="20"/>
  <c r="O65" i="21"/>
  <c r="N65" i="21"/>
  <c r="M65" i="21"/>
  <c r="L65" i="21"/>
  <c r="M56" i="21"/>
  <c r="N56" i="21"/>
  <c r="O56" i="21"/>
  <c r="L56" i="21"/>
  <c r="I58" i="22"/>
  <c r="J58" i="22"/>
  <c r="K58" i="22"/>
  <c r="L58" i="22"/>
  <c r="M58" i="22"/>
  <c r="N58" i="22"/>
  <c r="O58" i="22"/>
  <c r="P58" i="22"/>
  <c r="Q58" i="22"/>
  <c r="R58" i="22"/>
  <c r="H58" i="22"/>
  <c r="I51" i="22"/>
  <c r="J51" i="22"/>
  <c r="K51" i="22"/>
  <c r="L51" i="22"/>
  <c r="M51" i="22"/>
  <c r="N51" i="22"/>
  <c r="O51" i="22"/>
  <c r="P51" i="22"/>
  <c r="Q51" i="22"/>
  <c r="R51" i="22"/>
  <c r="H51" i="22"/>
  <c r="I45" i="22"/>
  <c r="J45" i="22"/>
  <c r="K45" i="22"/>
  <c r="L45" i="22"/>
  <c r="M45" i="22"/>
  <c r="N45" i="22"/>
  <c r="O45" i="22"/>
  <c r="P45" i="22"/>
  <c r="Q45" i="22"/>
  <c r="R45" i="22"/>
  <c r="H45" i="22"/>
  <c r="I31" i="22"/>
  <c r="J31" i="22"/>
  <c r="K31" i="22"/>
  <c r="L31" i="22"/>
  <c r="M31" i="22"/>
  <c r="N31" i="22"/>
  <c r="O31" i="22"/>
  <c r="P31" i="22"/>
  <c r="Q31" i="22"/>
  <c r="R31" i="22"/>
  <c r="H31" i="22"/>
  <c r="I23" i="22"/>
  <c r="J23" i="22"/>
  <c r="K23" i="22"/>
  <c r="L23" i="22"/>
  <c r="M23" i="22"/>
  <c r="N23" i="22"/>
  <c r="O23" i="22"/>
  <c r="P23" i="22"/>
  <c r="Q23" i="22"/>
  <c r="R23" i="22"/>
  <c r="H23" i="22"/>
  <c r="S67" i="23"/>
  <c r="S64" i="23"/>
  <c r="S63" i="23"/>
  <c r="S62" i="23"/>
  <c r="S58" i="23"/>
  <c r="S56" i="23"/>
  <c r="S55" i="23"/>
  <c r="S54" i="23"/>
  <c r="S51" i="23"/>
  <c r="S49" i="23"/>
  <c r="S48" i="23"/>
  <c r="S46" i="23"/>
  <c r="S45" i="23"/>
  <c r="S44" i="23"/>
  <c r="S39" i="23"/>
  <c r="S38" i="23"/>
  <c r="S37" i="23"/>
  <c r="S36" i="23"/>
  <c r="S35" i="23"/>
  <c r="S32" i="23"/>
  <c r="S31" i="23"/>
  <c r="S28" i="23"/>
  <c r="S27" i="23"/>
  <c r="S26" i="23"/>
  <c r="S25" i="23"/>
  <c r="S24" i="23"/>
  <c r="S23" i="23"/>
  <c r="S22" i="23"/>
  <c r="S21" i="23"/>
  <c r="S20" i="23"/>
  <c r="S18" i="23"/>
  <c r="S17" i="23"/>
  <c r="S16" i="23"/>
  <c r="S15" i="23"/>
  <c r="S14" i="23"/>
  <c r="S13" i="23"/>
  <c r="I57" i="23"/>
  <c r="J57" i="23"/>
  <c r="K57" i="23"/>
  <c r="L57" i="23"/>
  <c r="M57" i="23"/>
  <c r="N57" i="23"/>
  <c r="O57" i="23"/>
  <c r="P57" i="23"/>
  <c r="Q57" i="23"/>
  <c r="R57" i="23"/>
  <c r="H57" i="23"/>
  <c r="O52" i="23"/>
  <c r="P52" i="23"/>
  <c r="Q52" i="23"/>
  <c r="R52" i="23"/>
  <c r="I50" i="23"/>
  <c r="I52" i="23" s="1"/>
  <c r="J50" i="23"/>
  <c r="J52" i="23" s="1"/>
  <c r="K50" i="23"/>
  <c r="K52" i="23" s="1"/>
  <c r="L50" i="23"/>
  <c r="L52" i="23" s="1"/>
  <c r="M50" i="23"/>
  <c r="M52" i="23" s="1"/>
  <c r="N50" i="23"/>
  <c r="N52" i="23" s="1"/>
  <c r="H50" i="23"/>
  <c r="H52" i="23" s="1"/>
  <c r="I40" i="23"/>
  <c r="J40" i="23"/>
  <c r="K40" i="23"/>
  <c r="L40" i="23"/>
  <c r="M40" i="23"/>
  <c r="N40" i="23"/>
  <c r="O40" i="23"/>
  <c r="P40" i="23"/>
  <c r="Q40" i="23"/>
  <c r="R40" i="23"/>
  <c r="H40" i="23"/>
  <c r="I33" i="23"/>
  <c r="J33" i="23"/>
  <c r="K33" i="23"/>
  <c r="L33" i="23"/>
  <c r="M33" i="23"/>
  <c r="N33" i="23"/>
  <c r="O33" i="23"/>
  <c r="P33" i="23"/>
  <c r="Q33" i="23"/>
  <c r="R33" i="23"/>
  <c r="H33" i="23"/>
  <c r="I29" i="23"/>
  <c r="J29" i="23"/>
  <c r="K29" i="23"/>
  <c r="L29" i="23"/>
  <c r="M29" i="23"/>
  <c r="N29" i="23"/>
  <c r="O29" i="23"/>
  <c r="P29" i="23"/>
  <c r="Q29" i="23"/>
  <c r="R29" i="23"/>
  <c r="H29" i="23"/>
  <c r="G49" i="1"/>
  <c r="F49" i="1"/>
  <c r="G27" i="1"/>
  <c r="F27" i="1"/>
  <c r="F16" i="2"/>
  <c r="G12" i="2"/>
  <c r="F12" i="2"/>
  <c r="H16" i="3"/>
  <c r="I16" i="3"/>
  <c r="G16" i="3"/>
  <c r="G23" i="27"/>
  <c r="H23" i="27"/>
  <c r="F23" i="27"/>
  <c r="G18" i="27"/>
  <c r="H18" i="27"/>
  <c r="F18" i="27"/>
  <c r="G30" i="4"/>
  <c r="G33" i="4" s="1"/>
  <c r="G35" i="4" s="1"/>
  <c r="G38" i="4" s="1"/>
  <c r="H30" i="4"/>
  <c r="H33" i="4" s="1"/>
  <c r="H35" i="4" s="1"/>
  <c r="H38" i="4" s="1"/>
  <c r="I30" i="4"/>
  <c r="I33" i="4" s="1"/>
  <c r="I35" i="4" s="1"/>
  <c r="I38" i="4" s="1"/>
  <c r="J30" i="4"/>
  <c r="J33" i="4" s="1"/>
  <c r="J35" i="4" s="1"/>
  <c r="J38" i="4" s="1"/>
  <c r="F30" i="4"/>
  <c r="F33" i="4" s="1"/>
  <c r="F35" i="4" s="1"/>
  <c r="F38" i="4" s="1"/>
  <c r="G14" i="4"/>
  <c r="G16" i="4" s="1"/>
  <c r="G21" i="4" s="1"/>
  <c r="G24" i="4" s="1"/>
  <c r="H14" i="4"/>
  <c r="H16" i="4" s="1"/>
  <c r="H21" i="4" s="1"/>
  <c r="H24" i="4" s="1"/>
  <c r="J14" i="4"/>
  <c r="J16" i="4" s="1"/>
  <c r="J21" i="4" s="1"/>
  <c r="J24" i="4" s="1"/>
  <c r="F14" i="4"/>
  <c r="F16" i="4" s="1"/>
  <c r="F21" i="4" s="1"/>
  <c r="F24" i="4" s="1"/>
  <c r="F30" i="8"/>
  <c r="G30" i="8"/>
  <c r="H30" i="8"/>
  <c r="E30" i="8"/>
  <c r="F19" i="8"/>
  <c r="G19" i="8"/>
  <c r="H19" i="8"/>
  <c r="E19" i="8"/>
  <c r="F30" i="6"/>
  <c r="G30" i="6"/>
  <c r="H30" i="6"/>
  <c r="E30" i="6"/>
  <c r="F19" i="6"/>
  <c r="F31" i="6" s="1"/>
  <c r="G19" i="6"/>
  <c r="H19" i="6"/>
  <c r="E19" i="6"/>
  <c r="F30" i="5"/>
  <c r="G30" i="5"/>
  <c r="H30" i="5"/>
  <c r="E30" i="5"/>
  <c r="H19" i="5"/>
  <c r="F15" i="9"/>
  <c r="G15" i="9"/>
  <c r="H15" i="9"/>
  <c r="E15" i="9"/>
  <c r="G27" i="10"/>
  <c r="H27" i="10"/>
  <c r="I27" i="10"/>
  <c r="J27" i="10"/>
  <c r="K27" i="10"/>
  <c r="L27" i="10"/>
  <c r="M27" i="10"/>
  <c r="N27" i="10"/>
  <c r="O27" i="10"/>
  <c r="F27" i="10"/>
  <c r="G22" i="10"/>
  <c r="H22" i="10"/>
  <c r="I22" i="10"/>
  <c r="J22" i="10"/>
  <c r="K22" i="10"/>
  <c r="L22" i="10"/>
  <c r="M22" i="10"/>
  <c r="N22" i="10"/>
  <c r="O22" i="10"/>
  <c r="F22" i="10"/>
  <c r="G17" i="10"/>
  <c r="H17" i="10"/>
  <c r="I17" i="10"/>
  <c r="J17" i="10"/>
  <c r="K17" i="10"/>
  <c r="L17" i="10"/>
  <c r="M17" i="10"/>
  <c r="N17" i="10"/>
  <c r="O17" i="10"/>
  <c r="F17" i="10"/>
  <c r="G75" i="11"/>
  <c r="H75" i="11"/>
  <c r="I75" i="11"/>
  <c r="J75" i="11"/>
  <c r="K75" i="11"/>
  <c r="L75" i="11"/>
  <c r="M75" i="11"/>
  <c r="N75" i="11"/>
  <c r="O75" i="11"/>
  <c r="F75" i="11"/>
  <c r="G70" i="11"/>
  <c r="H70" i="11"/>
  <c r="I70" i="11"/>
  <c r="J70" i="11"/>
  <c r="K70" i="11"/>
  <c r="L70" i="11"/>
  <c r="M70" i="11"/>
  <c r="N70" i="11"/>
  <c r="O70" i="11"/>
  <c r="F70" i="11"/>
  <c r="G51" i="11"/>
  <c r="H51" i="11"/>
  <c r="I51" i="11"/>
  <c r="J51" i="11"/>
  <c r="K51" i="11"/>
  <c r="L51" i="11"/>
  <c r="M51" i="11"/>
  <c r="N51" i="11"/>
  <c r="O51" i="11"/>
  <c r="F51" i="11"/>
  <c r="G38" i="11"/>
  <c r="H38" i="11"/>
  <c r="I38" i="11"/>
  <c r="J38" i="11"/>
  <c r="K38" i="11"/>
  <c r="L38" i="11"/>
  <c r="M38" i="11"/>
  <c r="N38" i="11"/>
  <c r="O38" i="11"/>
  <c r="F38" i="11"/>
  <c r="G22" i="11"/>
  <c r="H22" i="11"/>
  <c r="I22" i="11"/>
  <c r="J22" i="11"/>
  <c r="K22" i="11"/>
  <c r="L22" i="11"/>
  <c r="M22" i="11"/>
  <c r="N22" i="11"/>
  <c r="O22" i="11"/>
  <c r="F22" i="11"/>
  <c r="G20" i="12"/>
  <c r="H20" i="12"/>
  <c r="I20" i="12"/>
  <c r="J20" i="12"/>
  <c r="K20" i="12"/>
  <c r="L20" i="12"/>
  <c r="M20" i="12"/>
  <c r="N20" i="12"/>
  <c r="O20" i="12"/>
  <c r="F20" i="12"/>
  <c r="G48" i="13"/>
  <c r="H48" i="13"/>
  <c r="I48" i="13"/>
  <c r="J48" i="13"/>
  <c r="K48" i="13"/>
  <c r="L48" i="13"/>
  <c r="M48" i="13"/>
  <c r="N48" i="13"/>
  <c r="O48" i="13"/>
  <c r="F48" i="13"/>
  <c r="G41" i="13"/>
  <c r="H41" i="13"/>
  <c r="I41" i="13"/>
  <c r="J41" i="13"/>
  <c r="K41" i="13"/>
  <c r="L41" i="13"/>
  <c r="M41" i="13"/>
  <c r="N41" i="13"/>
  <c r="O41" i="13"/>
  <c r="F41" i="13"/>
  <c r="G33" i="13"/>
  <c r="H33" i="13"/>
  <c r="I33" i="13"/>
  <c r="J33" i="13"/>
  <c r="K33" i="13"/>
  <c r="L33" i="13"/>
  <c r="M33" i="13"/>
  <c r="N33" i="13"/>
  <c r="O33" i="13"/>
  <c r="F33" i="13"/>
  <c r="G31" i="6" l="1"/>
  <c r="S65" i="23"/>
  <c r="H31" i="6"/>
  <c r="E31" i="6"/>
  <c r="K49" i="13"/>
  <c r="O49" i="13"/>
  <c r="G49" i="13"/>
  <c r="M39" i="11"/>
  <c r="I39" i="11"/>
  <c r="M71" i="11"/>
  <c r="I71" i="11"/>
  <c r="G17" i="2"/>
  <c r="G22" i="2" s="1"/>
  <c r="O59" i="23"/>
  <c r="L70" i="21"/>
  <c r="N70" i="21"/>
  <c r="O70" i="21"/>
  <c r="N49" i="13"/>
  <c r="R59" i="23"/>
  <c r="G24" i="27"/>
  <c r="G29" i="27" s="1"/>
  <c r="G34" i="27" s="1"/>
  <c r="I21" i="3"/>
  <c r="I26" i="3" s="1"/>
  <c r="I32" i="3" s="1"/>
  <c r="Q41" i="23"/>
  <c r="M41" i="23"/>
  <c r="I41" i="23"/>
  <c r="N59" i="23"/>
  <c r="J59" i="23"/>
  <c r="H35" i="22"/>
  <c r="O35" i="22"/>
  <c r="K35" i="22"/>
  <c r="Q59" i="22"/>
  <c r="M59" i="22"/>
  <c r="I59" i="22"/>
  <c r="J49" i="13"/>
  <c r="F39" i="11"/>
  <c r="L39" i="11"/>
  <c r="H39" i="11"/>
  <c r="F71" i="11"/>
  <c r="L71" i="11"/>
  <c r="H71" i="11"/>
  <c r="H21" i="3"/>
  <c r="H26" i="3" s="1"/>
  <c r="P41" i="23"/>
  <c r="L41" i="23"/>
  <c r="S33" i="23"/>
  <c r="M59" i="23"/>
  <c r="I59" i="23"/>
  <c r="R35" i="22"/>
  <c r="N35" i="22"/>
  <c r="J35" i="22"/>
  <c r="P59" i="22"/>
  <c r="L59" i="22"/>
  <c r="S51" i="22"/>
  <c r="M49" i="13"/>
  <c r="I49" i="13"/>
  <c r="O39" i="11"/>
  <c r="K39" i="11"/>
  <c r="G39" i="11"/>
  <c r="O71" i="11"/>
  <c r="K71" i="11"/>
  <c r="G71" i="11"/>
  <c r="F24" i="27"/>
  <c r="F29" i="27" s="1"/>
  <c r="F34" i="27" s="1"/>
  <c r="Q35" i="22"/>
  <c r="M35" i="22"/>
  <c r="I35" i="22"/>
  <c r="S45" i="22"/>
  <c r="O59" i="22"/>
  <c r="K59" i="22"/>
  <c r="M70" i="21"/>
  <c r="F49" i="13"/>
  <c r="L49" i="13"/>
  <c r="H49" i="13"/>
  <c r="N39" i="11"/>
  <c r="J39" i="11"/>
  <c r="N71" i="11"/>
  <c r="J71" i="11"/>
  <c r="H24" i="27"/>
  <c r="H29" i="27" s="1"/>
  <c r="H34" i="27" s="1"/>
  <c r="G21" i="3"/>
  <c r="G26" i="3" s="1"/>
  <c r="F17" i="2"/>
  <c r="F22" i="2" s="1"/>
  <c r="H59" i="23"/>
  <c r="K59" i="23"/>
  <c r="Q59" i="23"/>
  <c r="P35" i="22"/>
  <c r="L35" i="22"/>
  <c r="R59" i="22"/>
  <c r="N59" i="22"/>
  <c r="J59" i="22"/>
  <c r="G18" i="5"/>
  <c r="G19" i="5" s="1"/>
  <c r="H31" i="5"/>
  <c r="H34" i="5" s="1"/>
  <c r="I72" i="20"/>
  <c r="I74" i="20" s="1"/>
  <c r="H72" i="20"/>
  <c r="H74" i="20" s="1"/>
  <c r="J56" i="20"/>
  <c r="J55" i="20"/>
  <c r="K72" i="20"/>
  <c r="K74" i="20" s="1"/>
  <c r="S29" i="23"/>
  <c r="O41" i="23"/>
  <c r="K41" i="23"/>
  <c r="L59" i="23"/>
  <c r="S57" i="23"/>
  <c r="R41" i="23"/>
  <c r="R60" i="23" s="1"/>
  <c r="R66" i="23" s="1"/>
  <c r="R68" i="23" s="1"/>
  <c r="N41" i="23"/>
  <c r="J41" i="23"/>
  <c r="S40" i="23"/>
  <c r="P59" i="23"/>
  <c r="J72" i="20"/>
  <c r="J74" i="20" s="1"/>
  <c r="H41" i="23"/>
  <c r="S58" i="22"/>
  <c r="S50" i="23"/>
  <c r="S52" i="23" s="1"/>
  <c r="S31" i="22"/>
  <c r="S23" i="22"/>
  <c r="H59" i="22"/>
  <c r="P60" i="23" l="1"/>
  <c r="P66" i="23" s="1"/>
  <c r="P68" i="23" s="1"/>
  <c r="O60" i="23"/>
  <c r="O66" i="23" s="1"/>
  <c r="O68" i="23" s="1"/>
  <c r="K60" i="23"/>
  <c r="K66" i="23" s="1"/>
  <c r="K68" i="23" s="1"/>
  <c r="S59" i="23"/>
  <c r="N60" i="23"/>
  <c r="N66" i="23" s="1"/>
  <c r="N68" i="23" s="1"/>
  <c r="M60" i="23"/>
  <c r="M66" i="23" s="1"/>
  <c r="M68" i="23" s="1"/>
  <c r="S59" i="22"/>
  <c r="S35" i="22"/>
  <c r="J60" i="23"/>
  <c r="J66" i="23" s="1"/>
  <c r="J68" i="23" s="1"/>
  <c r="L60" i="23"/>
  <c r="L66" i="23" s="1"/>
  <c r="L68" i="23" s="1"/>
  <c r="Q60" i="23"/>
  <c r="Q66" i="23" s="1"/>
  <c r="Q68" i="23" s="1"/>
  <c r="I60" i="23"/>
  <c r="I66" i="23" s="1"/>
  <c r="I68" i="23" s="1"/>
  <c r="F18" i="5"/>
  <c r="F19" i="5" s="1"/>
  <c r="G31" i="5"/>
  <c r="G34" i="5" s="1"/>
  <c r="H60" i="23"/>
  <c r="H66" i="23" s="1"/>
  <c r="S41" i="23"/>
  <c r="H32" i="5"/>
  <c r="H15" i="16"/>
  <c r="H17" i="16" s="1"/>
  <c r="S60" i="23" l="1"/>
  <c r="E18" i="5"/>
  <c r="E19" i="5" s="1"/>
  <c r="F31" i="5"/>
  <c r="F34" i="5" s="1"/>
  <c r="G32" i="5"/>
  <c r="H68" i="23"/>
  <c r="S68" i="23" s="1"/>
  <c r="S66" i="23"/>
  <c r="I42" i="21"/>
  <c r="J42" i="21"/>
  <c r="K42" i="21"/>
  <c r="H42" i="21"/>
  <c r="O22" i="21"/>
  <c r="O39" i="21" s="1"/>
  <c r="O41" i="21"/>
  <c r="O42" i="21" s="1"/>
  <c r="O71" i="21" s="1"/>
  <c r="O73" i="21" s="1"/>
  <c r="E31" i="5" l="1"/>
  <c r="E34" i="5" s="1"/>
  <c r="F32" i="5"/>
  <c r="K37" i="20"/>
  <c r="K38" i="20" s="1"/>
  <c r="J37" i="20"/>
  <c r="J38" i="20" s="1"/>
  <c r="I37" i="20"/>
  <c r="I38" i="20" s="1"/>
  <c r="H38" i="20"/>
  <c r="E32" i="5" l="1"/>
  <c r="H9" i="28"/>
  <c r="K9" i="28"/>
  <c r="H10" i="28"/>
  <c r="K10" i="28"/>
  <c r="H11" i="28"/>
  <c r="K11" i="28"/>
  <c r="H12" i="28"/>
  <c r="K12" i="28"/>
  <c r="H13" i="28"/>
  <c r="K13" i="28"/>
  <c r="H14" i="28"/>
  <c r="K14" i="28"/>
  <c r="H15" i="28"/>
  <c r="K15" i="28"/>
  <c r="I45" i="18" l="1"/>
  <c r="I44" i="18"/>
  <c r="I43" i="18"/>
  <c r="I42" i="18"/>
  <c r="I41" i="18"/>
  <c r="I36" i="18"/>
  <c r="I35" i="18"/>
  <c r="I34" i="18"/>
  <c r="I33" i="18"/>
  <c r="I32" i="18"/>
  <c r="I27" i="18"/>
  <c r="I26" i="18"/>
  <c r="I25" i="18"/>
  <c r="I24" i="18"/>
  <c r="I23" i="18"/>
  <c r="I18" i="18"/>
  <c r="I17" i="18"/>
  <c r="I16" i="18"/>
  <c r="I15" i="18"/>
  <c r="I14" i="18"/>
  <c r="E50" i="19"/>
  <c r="E49" i="19"/>
  <c r="E48" i="19"/>
  <c r="E47" i="19"/>
  <c r="E40" i="19"/>
  <c r="E39" i="19"/>
  <c r="E38" i="19"/>
  <c r="E37" i="19"/>
  <c r="E36" i="19"/>
  <c r="H17" i="9"/>
  <c r="G17" i="9"/>
  <c r="F17" i="9"/>
  <c r="E17" i="9"/>
  <c r="H26" i="9"/>
  <c r="G26" i="9"/>
  <c r="F26" i="9"/>
  <c r="E26" i="9"/>
  <c r="H35" i="9"/>
  <c r="G35" i="9"/>
  <c r="F35" i="9"/>
  <c r="E35" i="9"/>
  <c r="H33" i="9"/>
  <c r="G33" i="9"/>
  <c r="F33" i="9"/>
  <c r="E33" i="9"/>
  <c r="I23" i="4"/>
  <c r="I22" i="4"/>
  <c r="I20" i="4"/>
  <c r="I19" i="4"/>
  <c r="I18" i="4"/>
  <c r="I17" i="4"/>
  <c r="I15" i="4"/>
  <c r="I13" i="4"/>
  <c r="I12" i="4"/>
  <c r="I14" i="4" s="1"/>
  <c r="I33" i="27"/>
  <c r="I32" i="27"/>
  <c r="I31" i="27"/>
  <c r="I30" i="27"/>
  <c r="I27" i="27"/>
  <c r="I17" i="27"/>
  <c r="I16" i="27"/>
  <c r="I15" i="27"/>
  <c r="I14" i="27"/>
  <c r="I13" i="27"/>
  <c r="I22" i="27"/>
  <c r="I21" i="27"/>
  <c r="I20" i="27"/>
  <c r="I10" i="27"/>
  <c r="I10" i="18"/>
  <c r="H10" i="16"/>
  <c r="O10" i="10"/>
  <c r="O10" i="12"/>
  <c r="J10" i="15"/>
  <c r="M10" i="14"/>
  <c r="O10" i="13"/>
  <c r="O10" i="11"/>
  <c r="H8" i="9"/>
  <c r="H7" i="5"/>
  <c r="H7" i="6"/>
  <c r="H7" i="8"/>
  <c r="J9" i="4"/>
  <c r="J10" i="3"/>
  <c r="I6" i="2"/>
  <c r="I10" i="1"/>
  <c r="I16" i="4" l="1"/>
  <c r="I21" i="4" s="1"/>
  <c r="I24" i="4" s="1"/>
  <c r="I18" i="27"/>
  <c r="I23" i="27"/>
  <c r="I26" i="27"/>
  <c r="I28" i="27" s="1"/>
  <c r="L14" i="21"/>
  <c r="N14" i="21" s="1"/>
  <c r="L15" i="21"/>
  <c r="N15" i="21" s="1"/>
  <c r="L16" i="21"/>
  <c r="N16" i="21" s="1"/>
  <c r="L17" i="21"/>
  <c r="L18" i="21"/>
  <c r="N18" i="21" s="1"/>
  <c r="L19" i="21"/>
  <c r="N19" i="21" s="1"/>
  <c r="L20" i="21"/>
  <c r="N20" i="21" s="1"/>
  <c r="L21" i="21"/>
  <c r="N21" i="21" s="1"/>
  <c r="H22" i="21"/>
  <c r="I22" i="21"/>
  <c r="J22" i="21"/>
  <c r="K22" i="21"/>
  <c r="M24" i="21"/>
  <c r="N24" i="21" s="1"/>
  <c r="M25" i="21"/>
  <c r="N25" i="21" s="1"/>
  <c r="M26" i="21"/>
  <c r="N26" i="21" s="1"/>
  <c r="M27" i="21"/>
  <c r="N27" i="21" s="1"/>
  <c r="M28" i="21"/>
  <c r="N28" i="21" s="1"/>
  <c r="M29" i="21"/>
  <c r="N29" i="21" s="1"/>
  <c r="M30" i="21"/>
  <c r="N30" i="21" s="1"/>
  <c r="M31" i="21"/>
  <c r="N31" i="21" s="1"/>
  <c r="M32" i="21"/>
  <c r="M33" i="21"/>
  <c r="N33" i="21" s="1"/>
  <c r="M34" i="21"/>
  <c r="N34" i="21" s="1"/>
  <c r="M35" i="21"/>
  <c r="N35" i="21" s="1"/>
  <c r="M36" i="21"/>
  <c r="N36" i="21" s="1"/>
  <c r="M37" i="21"/>
  <c r="N37" i="21" s="1"/>
  <c r="H38" i="21"/>
  <c r="I38" i="21"/>
  <c r="J38" i="21"/>
  <c r="K38" i="21"/>
  <c r="I24" i="27" l="1"/>
  <c r="I29" i="27" s="1"/>
  <c r="I34" i="27" s="1"/>
  <c r="H39" i="21"/>
  <c r="J39" i="21"/>
  <c r="I39" i="21"/>
  <c r="M38" i="21"/>
  <c r="M39" i="21" s="1"/>
  <c r="M71" i="21" s="1"/>
  <c r="M73" i="21" s="1"/>
  <c r="N32" i="21"/>
  <c r="N38" i="21" s="1"/>
  <c r="L22" i="21"/>
  <c r="L39" i="21" s="1"/>
  <c r="L71" i="21" s="1"/>
  <c r="L73" i="21" s="1"/>
  <c r="N17" i="21"/>
  <c r="N22" i="21" s="1"/>
  <c r="K39" i="21"/>
  <c r="H40" i="27"/>
  <c r="N39" i="21" l="1"/>
  <c r="N71" i="21" s="1"/>
  <c r="N73" i="21" s="1"/>
  <c r="O69" i="13"/>
  <c r="N69" i="13"/>
  <c r="M69" i="13"/>
  <c r="L69" i="13"/>
  <c r="K69" i="13"/>
  <c r="J69" i="13"/>
  <c r="I69" i="13"/>
  <c r="H69" i="13"/>
  <c r="G69" i="13"/>
  <c r="F69" i="13"/>
  <c r="O63" i="13"/>
  <c r="N63" i="13"/>
  <c r="M63" i="13"/>
  <c r="L63" i="13"/>
  <c r="K63" i="13"/>
  <c r="J63" i="13"/>
  <c r="I63" i="13"/>
  <c r="H63" i="13"/>
  <c r="G63" i="13"/>
  <c r="F63" i="13"/>
  <c r="O58" i="13"/>
  <c r="N58" i="13"/>
  <c r="M58" i="13"/>
  <c r="L58" i="13"/>
  <c r="K58" i="13"/>
  <c r="J58" i="13"/>
  <c r="I58" i="13"/>
  <c r="H58" i="13"/>
  <c r="G58" i="13"/>
  <c r="F58" i="13"/>
  <c r="O34" i="12"/>
  <c r="N34" i="12"/>
  <c r="M34" i="12"/>
  <c r="L34" i="12"/>
  <c r="K34" i="12"/>
  <c r="J34" i="12"/>
  <c r="I34" i="12"/>
  <c r="H34" i="12"/>
  <c r="G34" i="12"/>
  <c r="F34" i="12"/>
  <c r="O30" i="12"/>
  <c r="N30" i="12"/>
  <c r="N35" i="12" s="1"/>
  <c r="M30" i="12"/>
  <c r="M35" i="12" s="1"/>
  <c r="L30" i="12"/>
  <c r="K30" i="12"/>
  <c r="J30" i="12"/>
  <c r="J35" i="12" s="1"/>
  <c r="I30" i="12"/>
  <c r="I35" i="12" s="1"/>
  <c r="H30" i="12"/>
  <c r="G30" i="12"/>
  <c r="F30" i="12"/>
  <c r="F35" i="12" s="1"/>
  <c r="H24" i="9"/>
  <c r="G24" i="9"/>
  <c r="F24" i="9"/>
  <c r="E24" i="9"/>
  <c r="H32" i="8"/>
  <c r="G32" i="8"/>
  <c r="F32" i="8"/>
  <c r="E32" i="8"/>
  <c r="H31" i="8"/>
  <c r="G31" i="8"/>
  <c r="F31" i="8"/>
  <c r="E31" i="8"/>
  <c r="J25" i="3"/>
  <c r="J24" i="3"/>
  <c r="J23" i="3"/>
  <c r="J22" i="3"/>
  <c r="J18" i="3"/>
  <c r="J20" i="3" s="1"/>
  <c r="J15" i="3"/>
  <c r="J14" i="3"/>
  <c r="I18" i="2"/>
  <c r="I14" i="2"/>
  <c r="I16" i="2" s="1"/>
  <c r="H11" i="2"/>
  <c r="H12" i="2" s="1"/>
  <c r="H17" i="2" s="1"/>
  <c r="H22" i="2" s="1"/>
  <c r="H28" i="2" s="1"/>
  <c r="I10" i="2"/>
  <c r="H64" i="1"/>
  <c r="I59" i="1"/>
  <c r="I58" i="1"/>
  <c r="I57" i="1"/>
  <c r="I56" i="1"/>
  <c r="H52" i="1"/>
  <c r="H54" i="1" s="1"/>
  <c r="G52" i="1"/>
  <c r="G54" i="1" s="1"/>
  <c r="F52" i="1"/>
  <c r="F54" i="1" s="1"/>
  <c r="I48" i="1"/>
  <c r="I47" i="1"/>
  <c r="I46" i="1"/>
  <c r="I45" i="1"/>
  <c r="I44" i="1"/>
  <c r="I42" i="1"/>
  <c r="I41" i="1"/>
  <c r="H40" i="1"/>
  <c r="G37" i="1"/>
  <c r="F37" i="1"/>
  <c r="H36" i="1"/>
  <c r="I36" i="1" s="1"/>
  <c r="I35" i="1"/>
  <c r="I34" i="1"/>
  <c r="I33" i="1"/>
  <c r="G31" i="1"/>
  <c r="F31" i="1"/>
  <c r="H29" i="1"/>
  <c r="I24" i="1"/>
  <c r="H22" i="1"/>
  <c r="I22" i="1" s="1"/>
  <c r="I13" i="1"/>
  <c r="J16" i="3" l="1"/>
  <c r="I71" i="13"/>
  <c r="I72" i="13" s="1"/>
  <c r="I80" i="13" s="1"/>
  <c r="M71" i="13"/>
  <c r="M72" i="13" s="1"/>
  <c r="M80" i="13" s="1"/>
  <c r="F71" i="13"/>
  <c r="F72" i="13" s="1"/>
  <c r="F80" i="13" s="1"/>
  <c r="J71" i="13"/>
  <c r="J72" i="13" s="1"/>
  <c r="J80" i="13" s="1"/>
  <c r="H31" i="1"/>
  <c r="I29" i="1"/>
  <c r="I31" i="1" s="1"/>
  <c r="K35" i="12"/>
  <c r="H35" i="12"/>
  <c r="L35" i="12"/>
  <c r="H71" i="13"/>
  <c r="H72" i="13" s="1"/>
  <c r="H80" i="13" s="1"/>
  <c r="L71" i="13"/>
  <c r="L72" i="13" s="1"/>
  <c r="L80" i="13" s="1"/>
  <c r="N71" i="13"/>
  <c r="N72" i="13" s="1"/>
  <c r="N80" i="13" s="1"/>
  <c r="I40" i="1"/>
  <c r="I49" i="1" s="1"/>
  <c r="H49" i="1"/>
  <c r="G35" i="12"/>
  <c r="O35" i="12"/>
  <c r="G71" i="13"/>
  <c r="G72" i="13" s="1"/>
  <c r="G80" i="13" s="1"/>
  <c r="K71" i="13"/>
  <c r="K72" i="13" s="1"/>
  <c r="K80" i="13" s="1"/>
  <c r="O71" i="13"/>
  <c r="O72" i="13" s="1"/>
  <c r="O80" i="13" s="1"/>
  <c r="I27" i="1"/>
  <c r="H27" i="1"/>
  <c r="J21" i="3"/>
  <c r="J26" i="3" s="1"/>
  <c r="I11" i="2"/>
  <c r="I12" i="2" s="1"/>
  <c r="F38" i="1"/>
  <c r="F50" i="1" s="1"/>
  <c r="G38" i="1"/>
  <c r="G50" i="1" s="1"/>
  <c r="I37" i="1"/>
  <c r="I52" i="1"/>
  <c r="I54" i="1" s="1"/>
  <c r="H37" i="1"/>
  <c r="I38" i="1" l="1"/>
  <c r="I50" i="1" s="1"/>
  <c r="I55" i="1" s="1"/>
  <c r="I17" i="2"/>
  <c r="I22" i="2" s="1"/>
  <c r="F55" i="1"/>
  <c r="F60" i="1" s="1"/>
  <c r="H38" i="1"/>
  <c r="H50" i="1" s="1"/>
  <c r="H55" i="1" s="1"/>
  <c r="H60" i="1" s="1"/>
  <c r="H66" i="1" s="1"/>
  <c r="G55" i="1"/>
  <c r="G60" i="1" s="1"/>
  <c r="I60" i="1" l="1"/>
</calcChain>
</file>

<file path=xl/sharedStrings.xml><?xml version="1.0" encoding="utf-8"?>
<sst xmlns="http://schemas.openxmlformats.org/spreadsheetml/2006/main" count="4859" uniqueCount="1932">
  <si>
    <t>Statement of Revenues, Expenditures and Changes in Fund Balance - Budget and Actual General Fund</t>
  </si>
  <si>
    <t>Particulars</t>
  </si>
  <si>
    <t>Original Budget</t>
  </si>
  <si>
    <t>Final Approved Budget</t>
  </si>
  <si>
    <t>Actual</t>
  </si>
  <si>
    <t>Variance with Final Budget Over/ Under</t>
  </si>
  <si>
    <t>Revenues</t>
  </si>
  <si>
    <t>Taxes</t>
  </si>
  <si>
    <t>Public Service Tax</t>
  </si>
  <si>
    <t>Licenses and Permits</t>
  </si>
  <si>
    <t>Fines and Forfeitures</t>
  </si>
  <si>
    <t>Charges for Services and User Fees</t>
  </si>
  <si>
    <t>Charges for General Administration</t>
  </si>
  <si>
    <t>Intergovernmental Revenues</t>
  </si>
  <si>
    <t>Federal, State, Other Grants</t>
  </si>
  <si>
    <t>State - Sales Tax</t>
  </si>
  <si>
    <t>State - Revenue Sharing</t>
  </si>
  <si>
    <t>State - Communication Service Tax</t>
  </si>
  <si>
    <t>State - Other</t>
  </si>
  <si>
    <t>Pinellas County - Gasoline Tax</t>
  </si>
  <si>
    <t>Pinellas County - Other</t>
  </si>
  <si>
    <t>Total Intergovernmental Revenues</t>
  </si>
  <si>
    <t>Use of Money and Property</t>
  </si>
  <si>
    <t>Rentals</t>
  </si>
  <si>
    <t>Total Use of Money and Property</t>
  </si>
  <si>
    <t>Miscellaneous</t>
  </si>
  <si>
    <t>Contributions</t>
  </si>
  <si>
    <t>Assessments</t>
  </si>
  <si>
    <t>Dispositions of Property</t>
  </si>
  <si>
    <t>Other</t>
  </si>
  <si>
    <t>Total Miscellaneous</t>
  </si>
  <si>
    <t>Total Revenues</t>
  </si>
  <si>
    <t>Expenditures</t>
  </si>
  <si>
    <t>General Government Administration</t>
  </si>
  <si>
    <t>City Development Administration</t>
  </si>
  <si>
    <t>Public Works Administration</t>
  </si>
  <si>
    <t>Public Safety Administration</t>
  </si>
  <si>
    <t>Police</t>
  </si>
  <si>
    <t>Fire and EMS</t>
  </si>
  <si>
    <t>Leisure Services Administration</t>
  </si>
  <si>
    <t>Neighborhood Affairs Administration</t>
  </si>
  <si>
    <t>Contingency</t>
  </si>
  <si>
    <t>Total Expenditures</t>
  </si>
  <si>
    <t>Excess (deficiency) of revenues over expenditures</t>
  </si>
  <si>
    <t>Other Financing Sources (Uses)</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</si>
  <si>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</si>
  <si>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</si>
  <si>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</si>
  <si>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</si>
  <si>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</si>
  <si>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</si>
  <si>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</si>
  <si>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Reconciliation of Budget to GAAP Reporting</t>
  </si>
  <si>
    <t>Reserve for Encumbrances - September 30, 2017</t>
  </si>
  <si>
    <t>Current Year Advances with other Funds</t>
  </si>
  <si>
    <t>Reserve for Prepaid Costs and Inventory</t>
  </si>
  <si>
    <t>Net Change in Fair Value of Investments</t>
  </si>
  <si>
    <t>Fund Balance - September 30</t>
  </si>
  <si>
    <t>Statement of Revenues, Expenditures and Changes in Fund Balance - Budget and Actual - Major Special Revenue Funds</t>
  </si>
  <si>
    <t>Community Redevelopment Districts</t>
  </si>
  <si>
    <t>Pinellas County - Tax Increment</t>
  </si>
  <si>
    <t>Earnings in Investments</t>
  </si>
  <si>
    <t>Downtown Redevelopment District</t>
  </si>
  <si>
    <t>LONG - TERM OBLIGATIONS</t>
  </si>
  <si>
    <t>Governmental Activities</t>
  </si>
  <si>
    <t>Beginning Balance</t>
  </si>
  <si>
    <t>Additions</t>
  </si>
  <si>
    <t>Reductions</t>
  </si>
  <si>
    <t>Ending Balance</t>
  </si>
  <si>
    <t xml:space="preserve">  Revenue Bonds</t>
  </si>
  <si>
    <t xml:space="preserve">  Notes</t>
  </si>
  <si>
    <t>Claims and Judgments</t>
  </si>
  <si>
    <t>Compensated Absences</t>
  </si>
  <si>
    <t>Supplemental Payments Liability</t>
  </si>
  <si>
    <t xml:space="preserve">Contingent Liability </t>
  </si>
  <si>
    <t xml:space="preserve">  Subtotal before Pension and OPEB   Liabilities</t>
  </si>
  <si>
    <t xml:space="preserve">  Governmental Activity Long-term       Liabilities</t>
  </si>
  <si>
    <t>Business Type Activities</t>
  </si>
  <si>
    <t>Beginning  Balance</t>
  </si>
  <si>
    <t>Ending  Balance</t>
  </si>
  <si>
    <t>Due  Within  One Year</t>
  </si>
  <si>
    <t>Bonds, Notes Payable:</t>
  </si>
  <si>
    <t>Total  Bonds, Notes Payable</t>
  </si>
  <si>
    <t>Notes - Unamortized Premiums/Discounts</t>
  </si>
  <si>
    <t xml:space="preserve">  Total Bonds, Notes Payable</t>
  </si>
  <si>
    <t xml:space="preserve">  Subtotal before Pension and OPEB        Liabilities</t>
  </si>
  <si>
    <t xml:space="preserve">  Business Type Activity Long-term   Liabilities</t>
  </si>
  <si>
    <t xml:space="preserve">Police Officers' Retirement System </t>
  </si>
  <si>
    <t>Schedule of Changes in the City's Net Pension Liability and Related Ratios</t>
  </si>
  <si>
    <t>Pension Liability</t>
  </si>
  <si>
    <t>Service cost</t>
  </si>
  <si>
    <t>Interest</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</si>
  <si>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</si>
  <si>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</si>
  <si>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</si>
  <si>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</si>
  <si>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</si>
  <si>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</si>
  <si>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</si>
  <si>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Plan fiduciary net position</t>
  </si>
  <si>
    <t>Contributions - employer</t>
  </si>
  <si>
    <t>Contributions - employee</t>
  </si>
  <si>
    <t>Contributions - state</t>
  </si>
  <si>
    <t>Administrative Expense</t>
  </si>
  <si>
    <t>Net change in plan fiduciary net position</t>
  </si>
  <si>
    <t>Plan fiduciary net position - beginning</t>
  </si>
  <si>
    <t>Plan fiduciary net position - ending</t>
  </si>
  <si>
    <t>Net pension liability - ending</t>
  </si>
  <si>
    <t>Plan fiduciary net position as a percentage of the total pension liability</t>
  </si>
  <si>
    <t>Covered employee payroll</t>
  </si>
  <si>
    <t>Net pension liability as a percentage of covered employee payroll</t>
  </si>
  <si>
    <t>Firefighters' Retirement System</t>
  </si>
  <si>
    <t>Schedule of Changes in the City's Net Pension Asset and Related Ratios</t>
  </si>
  <si>
    <t>Net pension asset - ending</t>
  </si>
  <si>
    <t>Plan fiduciary net position as a percentage of the total pension asset</t>
  </si>
  <si>
    <t>Net pension asset as a percentage of covered employee payroll</t>
  </si>
  <si>
    <t>Retirement System Information</t>
  </si>
  <si>
    <t>Employees' Retirement System</t>
  </si>
  <si>
    <t>Schedule of Contributions</t>
  </si>
  <si>
    <t>Actuarial Valuation</t>
  </si>
  <si>
    <t>Fiscal Year Contributed to Plans</t>
  </si>
  <si>
    <t>Actuarially determined contribution</t>
  </si>
  <si>
    <t>Contributions in relation to the actuarially determined contribution</t>
  </si>
  <si>
    <t>Contribution deficiency (excess)</t>
  </si>
  <si>
    <t>Contribution as a percentage of covered payroll</t>
  </si>
  <si>
    <t>Net Position By Component Last Ten Fiscal Years</t>
  </si>
  <si>
    <t>(Accrual Basis of Accounting)</t>
  </si>
  <si>
    <t xml:space="preserve"> Governmental Activities</t>
  </si>
  <si>
    <t xml:space="preserve">    Net investment in capital assets</t>
  </si>
  <si>
    <t xml:space="preserve">    Restricted</t>
  </si>
  <si>
    <t xml:space="preserve">    Unrestricted</t>
  </si>
  <si>
    <t xml:space="preserve"> Total Governmental Activities Net Position</t>
  </si>
  <si>
    <t xml:space="preserve"> Business-type Activities </t>
  </si>
  <si>
    <t xml:space="preserve">    Net investment in capital assets </t>
  </si>
  <si>
    <t xml:space="preserve">    Restricted </t>
  </si>
  <si>
    <t xml:space="preserve">    Unrestricted </t>
  </si>
  <si>
    <t xml:space="preserve"> Total Business-type Activities Net Position</t>
  </si>
  <si>
    <t xml:space="preserve"> Primary  Government </t>
  </si>
  <si>
    <t xml:space="preserve"> Total Primary Government Net Position</t>
  </si>
  <si>
    <t xml:space="preserve">Changes in Net Position - Last Ten Fiscal Years </t>
  </si>
  <si>
    <t xml:space="preserve"> Expenses </t>
  </si>
  <si>
    <t xml:space="preserve"> Governmental Activities: </t>
  </si>
  <si>
    <t xml:space="preserve"> Business-type Activities: </t>
  </si>
  <si>
    <t xml:space="preserve"> Program Revenues </t>
  </si>
  <si>
    <t xml:space="preserve"> Charges for Services: </t>
  </si>
  <si>
    <t xml:space="preserve">  Charges for Services:</t>
  </si>
  <si>
    <t>Fund Balances, Governmental Funds - Last Ten Fiscal Years</t>
  </si>
  <si>
    <t>(Modified Accrual Basis of Accounting)</t>
  </si>
  <si>
    <t xml:space="preserve"> General Fund</t>
  </si>
  <si>
    <t>Total Reserved, Reported In</t>
  </si>
  <si>
    <t>Total Unreserved, Reported In</t>
  </si>
  <si>
    <t>Changes in Fund Balances - Governmental Funds - Last Ten Fiscal Years</t>
  </si>
  <si>
    <t xml:space="preserve"> Revenues </t>
  </si>
  <si>
    <t>Public Safety</t>
  </si>
  <si>
    <t>Total Public Safety</t>
  </si>
  <si>
    <t>Total Debt Service</t>
  </si>
  <si>
    <t>Ratio of Outstanding Debt by Type Last Ten Fiscal Years</t>
  </si>
  <si>
    <t>GOVERNMENTAL ACTIVITIES</t>
  </si>
  <si>
    <t xml:space="preserve">Fiscal Year </t>
  </si>
  <si>
    <t>General Non-ad Valorem Notes</t>
  </si>
  <si>
    <t>Unamortized Premiums and Discounts</t>
  </si>
  <si>
    <t>BUSINESS-TYPE ACTIVITIES</t>
  </si>
  <si>
    <t xml:space="preserve"> Fiscal Year</t>
  </si>
  <si>
    <t>Marina Revenue Notes</t>
  </si>
  <si>
    <t xml:space="preserve"> Fiscal Year </t>
  </si>
  <si>
    <t>Ratio of Net General Bonded Debt Outstanding - Last Ten Fiscal Years</t>
  </si>
  <si>
    <t>GENERAL BONDED DEBT OUTSTANDING</t>
  </si>
  <si>
    <t xml:space="preserve"> Fiscal  Year </t>
  </si>
  <si>
    <t>Direct and Overlapping Governmental Activities Debt</t>
  </si>
  <si>
    <t xml:space="preserve"> Governmental Unit </t>
  </si>
  <si>
    <t>Estimated Percentage Applicable  (2)</t>
  </si>
  <si>
    <t xml:space="preserve"> Debt repaid with property taxes</t>
  </si>
  <si>
    <t xml:space="preserve">    </t>
  </si>
  <si>
    <t xml:space="preserve">Pinellas County School Board </t>
  </si>
  <si>
    <t>Pinellas County</t>
  </si>
  <si>
    <t>Legal Debt Margin Information - Last Ten Fiscal Years</t>
  </si>
  <si>
    <t>Legal Debt Margin Calculation for Fiscal Year 2017</t>
  </si>
  <si>
    <t>Taxable Assessed Value - January 1, 2016  (1)</t>
  </si>
  <si>
    <t>Amount of Debt Applicable to Debt Limit</t>
  </si>
  <si>
    <t>Legal Debt Margin</t>
  </si>
  <si>
    <t>Last Ten Fiscal Years</t>
  </si>
  <si>
    <t xml:space="preserve">Debt Limit </t>
  </si>
  <si>
    <t xml:space="preserve">Total Net Debt Applicable to Limit </t>
  </si>
  <si>
    <t xml:space="preserve">Legal Debt Margin </t>
  </si>
  <si>
    <t>Total Net Debt Applicable to the Limit as a Percentage of Debt Limit</t>
  </si>
  <si>
    <t xml:space="preserve"> </t>
  </si>
  <si>
    <t>Pledged-Revenue Coverage Last Five Fiscal Years</t>
  </si>
  <si>
    <t>Professional Sports Facility Sales Tax Bonds, Series 2003 (Refunded) (2) (3)</t>
  </si>
  <si>
    <t xml:space="preserve">Fiscal
Year </t>
  </si>
  <si>
    <t>Revenue</t>
  </si>
  <si>
    <t>Debt Service</t>
  </si>
  <si>
    <t>Coverage</t>
  </si>
  <si>
    <t>Principal</t>
  </si>
  <si>
    <t>Professional Sports Facility Sales Tax Bonds, Series 2014 (2) (3)</t>
  </si>
  <si>
    <t>Excise Tax Revenue Bonds (2) (4)</t>
  </si>
  <si>
    <t>Public Service Tax Revenue Bonds, Series 2016A and 2016B</t>
  </si>
  <si>
    <t>Image URL</t>
  </si>
  <si>
    <t>09</t>
  </si>
  <si>
    <t>Date of end of financial year</t>
  </si>
  <si>
    <t>01</t>
  </si>
  <si>
    <t>Date of start of financial year</t>
  </si>
  <si>
    <t>CITY OF ST. PETERSBURG, FLORIDA</t>
  </si>
  <si>
    <t>Name of government</t>
  </si>
  <si>
    <t>08</t>
  </si>
  <si>
    <t>07</t>
  </si>
  <si>
    <t>06</t>
  </si>
  <si>
    <t>05</t>
  </si>
  <si>
    <t>04</t>
  </si>
  <si>
    <t>03</t>
  </si>
  <si>
    <t>02</t>
  </si>
  <si>
    <t>Total net position</t>
  </si>
  <si>
    <t>Unrestricted</t>
  </si>
  <si>
    <t>Total Restricted</t>
  </si>
  <si>
    <t>Grants</t>
  </si>
  <si>
    <t>Debt service</t>
  </si>
  <si>
    <t>Public Works</t>
  </si>
  <si>
    <t>Restricted</t>
  </si>
  <si>
    <t>Net investment in capital assets</t>
  </si>
  <si>
    <t>Net position</t>
  </si>
  <si>
    <t>Total deferred inflows of resources</t>
  </si>
  <si>
    <t>Deferred inflows of resources</t>
  </si>
  <si>
    <t>Total liabilities</t>
  </si>
  <si>
    <t>Total Non-current liabilities</t>
  </si>
  <si>
    <t>Net pension liability</t>
  </si>
  <si>
    <t>Due in more than one year</t>
  </si>
  <si>
    <t>Due within one year</t>
  </si>
  <si>
    <t>Non-current liabilities</t>
  </si>
  <si>
    <t>Liabilities</t>
  </si>
  <si>
    <t>Total deferred outflows of resources</t>
  </si>
  <si>
    <t>Deferred outflows of resources</t>
  </si>
  <si>
    <t>Total assets</t>
  </si>
  <si>
    <t>Construction in progress</t>
  </si>
  <si>
    <t>Land</t>
  </si>
  <si>
    <t>Intergovernmental</t>
  </si>
  <si>
    <t>Receivables</t>
  </si>
  <si>
    <t>Assets</t>
  </si>
  <si>
    <t>Total Primary Government Activities</t>
  </si>
  <si>
    <t>Business-type Activities-Enterprise Funds</t>
  </si>
  <si>
    <t>Primary Government Activities</t>
  </si>
  <si>
    <t xml:space="preserve">Statement of Net Position </t>
  </si>
  <si>
    <t>Transfers</t>
  </si>
  <si>
    <t>General revenues</t>
  </si>
  <si>
    <t>Total primary government</t>
  </si>
  <si>
    <t>Total Business-type Activities-Enterprise Funds</t>
  </si>
  <si>
    <t>Sunken Gardens</t>
  </si>
  <si>
    <t>Coliseum</t>
  </si>
  <si>
    <t>Pier</t>
  </si>
  <si>
    <t>Mahaffey</t>
  </si>
  <si>
    <t>Parking</t>
  </si>
  <si>
    <t>Jamestown Complex</t>
  </si>
  <si>
    <t>Golf Courses</t>
  </si>
  <si>
    <t>Marina</t>
  </si>
  <si>
    <t>Port</t>
  </si>
  <si>
    <t>Airport</t>
  </si>
  <si>
    <t>Tropicana Field</t>
  </si>
  <si>
    <t>Sanitation</t>
  </si>
  <si>
    <t>Stormwater Utility</t>
  </si>
  <si>
    <t>Water and Waste Water Utility</t>
  </si>
  <si>
    <t>Total governmental activities</t>
  </si>
  <si>
    <t>General government</t>
  </si>
  <si>
    <t>Governmental activites:</t>
  </si>
  <si>
    <t>Capital Grants and Contributions</t>
  </si>
  <si>
    <t>Operating Grants and Contributions</t>
  </si>
  <si>
    <t>Charges for Services</t>
  </si>
  <si>
    <t>Expenses</t>
  </si>
  <si>
    <t>Net (Expense) Revenue Changes in Net Position</t>
  </si>
  <si>
    <t>Program Revenues</t>
  </si>
  <si>
    <t xml:space="preserve">Functions/Programs </t>
  </si>
  <si>
    <t>Statement of Activities</t>
  </si>
  <si>
    <t>Total liabilities, deferred inflows and fund balances</t>
  </si>
  <si>
    <t>Total fund balances</t>
  </si>
  <si>
    <t>Unassigned</t>
  </si>
  <si>
    <t>Assigned</t>
  </si>
  <si>
    <t>Fund balances</t>
  </si>
  <si>
    <t>Total  liabilities</t>
  </si>
  <si>
    <t>Deposits</t>
  </si>
  <si>
    <t>Liabilities, Deferred Inflows and Fund Balances</t>
  </si>
  <si>
    <t>Inventory</t>
  </si>
  <si>
    <t>Due from other funds</t>
  </si>
  <si>
    <t>Total  receivables</t>
  </si>
  <si>
    <t>Total Governmental Funds</t>
  </si>
  <si>
    <t>Nonmajor Governmental Funds</t>
  </si>
  <si>
    <t>General</t>
  </si>
  <si>
    <t>Balance Sheet, Governmental Funds</t>
  </si>
  <si>
    <t>Transfers out</t>
  </si>
  <si>
    <t>Transfers in</t>
  </si>
  <si>
    <t>Other Financing Sources/(Uses)</t>
  </si>
  <si>
    <t>Statement of Revenues, Expenditures, and Changes in Fund Balances Governmental Funds</t>
  </si>
  <si>
    <t>Net position business-type activities</t>
  </si>
  <si>
    <t>Adjustments to reflect the consolidation of
 internal service funds activities related to
 enterprise funds.</t>
  </si>
  <si>
    <t>Adjustments to reflect the consolidation of internal service funds activities related to enterprise funds.</t>
  </si>
  <si>
    <t>Total Business Type Activities Enterprise Funds</t>
  </si>
  <si>
    <t>Total  net  position</t>
  </si>
  <si>
    <t xml:space="preserve">Unrestricted </t>
  </si>
  <si>
    <t>Total  restricted</t>
  </si>
  <si>
    <t>Debt services</t>
  </si>
  <si>
    <t>Net  investment  in  capital  assets</t>
  </si>
  <si>
    <t>Net Position</t>
  </si>
  <si>
    <t>Total   liabilities</t>
  </si>
  <si>
    <t>OPEB liability</t>
  </si>
  <si>
    <t>Unearned  revenue</t>
  </si>
  <si>
    <t>Total current liabilities</t>
  </si>
  <si>
    <t>Current liabilities</t>
  </si>
  <si>
    <t>Total   assets</t>
  </si>
  <si>
    <t>Total non-current assets</t>
  </si>
  <si>
    <t>Capital assets</t>
  </si>
  <si>
    <t>Restricted-Accrued interest receivable</t>
  </si>
  <si>
    <t>Restricted-Cash and investments</t>
  </si>
  <si>
    <t>Non-current assets</t>
  </si>
  <si>
    <t>Total current assets</t>
  </si>
  <si>
    <t>Current assets</t>
  </si>
  <si>
    <t>Stormwater</t>
  </si>
  <si>
    <t>Statement of Net Position Proprietary Funds</t>
  </si>
  <si>
    <t>Capital Contributions</t>
  </si>
  <si>
    <t>Contributions from Citizens and Developers</t>
  </si>
  <si>
    <t>Capital Assets from (to) Other Funds</t>
  </si>
  <si>
    <t>Miscellaneous income</t>
  </si>
  <si>
    <t>Net cash provided by (used in) operating activities</t>
  </si>
  <si>
    <t>Total adjustments to reconcile operating income (loss) to net cash provided by (used in) operating activities</t>
  </si>
  <si>
    <t>Net (increase) decrease in assets and increase</t>
  </si>
  <si>
    <t>Inventories</t>
  </si>
  <si>
    <t>(Increase) decrease in assets and liabilities</t>
  </si>
  <si>
    <t>Adjustments to reconcile operating income (loss) to net cash provided by (used in) operating activities:</t>
  </si>
  <si>
    <t>Operating income (loss)</t>
  </si>
  <si>
    <t>Reconciliation of operating income (loss) to net cash provided by/(used in) operating activities</t>
  </si>
  <si>
    <t>Net cash provided by investing activities</t>
  </si>
  <si>
    <t>Net cash provided by (used in) capital and related financing activities</t>
  </si>
  <si>
    <t>Capital and related financing activities debt service costs</t>
  </si>
  <si>
    <t>Intergovernmental Revenue</t>
  </si>
  <si>
    <t>Principal received on Notes Receivable</t>
  </si>
  <si>
    <t>Proceeds from special assessment, net of receivable change</t>
  </si>
  <si>
    <t>Net Cash provided by (used in) non capital financing activities</t>
  </si>
  <si>
    <t>Non-Major Enterprise Funds</t>
  </si>
  <si>
    <t>Water Resources</t>
  </si>
  <si>
    <t>Statement of Cash Flows, Proprietary Funds</t>
  </si>
  <si>
    <t>Contents:</t>
  </si>
  <si>
    <t>Statement of Net Position</t>
  </si>
  <si>
    <t>Governmental Fund Balance Sheet</t>
  </si>
  <si>
    <t>Budget and Actual General Fund</t>
  </si>
  <si>
    <t>Net Position By Component</t>
  </si>
  <si>
    <t xml:space="preserve">Changes in Net Position </t>
  </si>
  <si>
    <t>Fund Balances</t>
  </si>
  <si>
    <t xml:space="preserve">Changes in Fund Balances </t>
  </si>
  <si>
    <t>Ratio of Outstanding Debt</t>
  </si>
  <si>
    <t>Ratio of Net General Bonded</t>
  </si>
  <si>
    <t>Pledged-Revenue Coverage</t>
  </si>
  <si>
    <t>September 30, 2017</t>
  </si>
  <si>
    <t>Direct and Overlapping Debt</t>
  </si>
  <si>
    <t>Gov Fund Stmt of Rev Exp &amp; Bal</t>
  </si>
  <si>
    <t>Prop Fund Stmt of Net Position</t>
  </si>
  <si>
    <t>Prop Fund Stmt Rev Exp &amp; Bal</t>
  </si>
  <si>
    <t>Stmt of Cash Flow - Prop Funds</t>
  </si>
  <si>
    <t>52-53</t>
  </si>
  <si>
    <t>54-55</t>
  </si>
  <si>
    <t>Untagged Section 1</t>
  </si>
  <si>
    <t>1-51</t>
  </si>
  <si>
    <t>i-49</t>
  </si>
  <si>
    <t>58-59</t>
  </si>
  <si>
    <t>56-57</t>
  </si>
  <si>
    <t>Untagged Section 2</t>
  </si>
  <si>
    <t>Untagged Section 3</t>
  </si>
  <si>
    <t>66-69</t>
  </si>
  <si>
    <t>64-67</t>
  </si>
  <si>
    <t>68-69</t>
  </si>
  <si>
    <t>70-71</t>
  </si>
  <si>
    <t>72-73</t>
  </si>
  <si>
    <t>Statement of Revenues, Expenditures and Changes in Fund Balance - Budget and Actual Grants</t>
  </si>
  <si>
    <t>Federal, State and Other Grants</t>
  </si>
  <si>
    <t>Disposition of Property</t>
  </si>
  <si>
    <t>Current Operations:</t>
  </si>
  <si>
    <t>Community and Economic Development</t>
  </si>
  <si>
    <t>Recreation, Culture and Social</t>
  </si>
  <si>
    <t>Budget and Actual Grants</t>
  </si>
  <si>
    <t>B&amp;A Community Redevelopment</t>
  </si>
  <si>
    <t>B&amp;A Downtown Redevelopment</t>
  </si>
  <si>
    <t>Untagged Section 4</t>
  </si>
  <si>
    <t>Untagged Section 5</t>
  </si>
  <si>
    <t>122-123</t>
  </si>
  <si>
    <t>124-125</t>
  </si>
  <si>
    <t>72-122</t>
  </si>
  <si>
    <t>75-124</t>
  </si>
  <si>
    <t>Untagged Section 6</t>
  </si>
  <si>
    <t>Initial Table Only; Remainder of Long-Term Obligations Footnote Untagged</t>
  </si>
  <si>
    <t>125-136</t>
  </si>
  <si>
    <t>123-134</t>
  </si>
  <si>
    <t>Police Officers' Retirement System</t>
  </si>
  <si>
    <t>RSI Employees’ Retirement</t>
  </si>
  <si>
    <t>RSI Firefighters' Retirement</t>
  </si>
  <si>
    <t xml:space="preserve">RSI Police Officers' Retirement </t>
  </si>
  <si>
    <t>RSI Pension Contributions</t>
  </si>
  <si>
    <t>Untagged Section 8</t>
  </si>
  <si>
    <t>137-165</t>
  </si>
  <si>
    <t>Footnotes 18-22</t>
  </si>
  <si>
    <t>135-163</t>
  </si>
  <si>
    <t>Untagged Section 7</t>
  </si>
  <si>
    <t>166-168</t>
  </si>
  <si>
    <t>164-166</t>
  </si>
  <si>
    <t>Untagged Section 9</t>
  </si>
  <si>
    <t>174-244</t>
  </si>
  <si>
    <t>172-242</t>
  </si>
  <si>
    <t>246-247</t>
  </si>
  <si>
    <t>244-245</t>
  </si>
  <si>
    <t>Untagged Section 10</t>
  </si>
  <si>
    <t>262-263</t>
  </si>
  <si>
    <t>260-261</t>
  </si>
  <si>
    <t>248-255</t>
  </si>
  <si>
    <t>250-257</t>
  </si>
  <si>
    <t>264-298</t>
  </si>
  <si>
    <t>262-296</t>
  </si>
  <si>
    <t>Untagged Section 11</t>
  </si>
  <si>
    <t>Water Resources and Stormwater Revenue Bonds and Notes</t>
  </si>
  <si>
    <t>Net Available Revenue</t>
  </si>
  <si>
    <t>(Gross) Revenue</t>
  </si>
  <si>
    <t>Less: Operating Expenses</t>
  </si>
  <si>
    <t>ixt:numdotdecimal</t>
  </si>
  <si>
    <t>USD</t>
  </si>
  <si>
    <t>ix:nonFraction</t>
  </si>
  <si>
    <t>OPEBAssumedInflationRate</t>
  </si>
  <si>
    <t>OPEBPlanActuarialLiabilities</t>
  </si>
  <si>
    <t>OPEBContribution</t>
  </si>
  <si>
    <t>OPEBNetLiability</t>
  </si>
  <si>
    <t>OPEBAnnualCost</t>
  </si>
  <si>
    <t>OPEBActuariallyDeterminedContribution</t>
  </si>
  <si>
    <t>OPEBPlanRetiredEmployees</t>
  </si>
  <si>
    <t>id</t>
  </si>
  <si>
    <t>format</t>
  </si>
  <si>
    <t>decimals</t>
  </si>
  <si>
    <t>contextRef</t>
  </si>
  <si>
    <t>unitRef</t>
  </si>
  <si>
    <t>Tag Name</t>
  </si>
  <si>
    <t>name</t>
  </si>
  <si>
    <t>(The columns in this table can be renamed, but their order cannot be changed.)</t>
  </si>
  <si>
    <t>Attributes</t>
  </si>
  <si>
    <t>C:\Users\Marc\Documents\St Petersburg OPEB Footnote.docx</t>
  </si>
  <si>
    <t>Word File:</t>
  </si>
  <si>
    <t>v1.00, 22/03/2018</t>
  </si>
  <si>
    <t>Insert XML Tags</t>
  </si>
  <si>
    <t>Component Unit</t>
  </si>
  <si>
    <t>Investments</t>
  </si>
  <si>
    <t>Receivables - Net of Allowance for Uncollectibles</t>
  </si>
  <si>
    <t>-</t>
  </si>
  <si>
    <t>Internal Balances</t>
  </si>
  <si>
    <t>Due from Other Governmental Agencies</t>
  </si>
  <si>
    <t>Property Held for Resale</t>
  </si>
  <si>
    <t>Prepaids and Deposits</t>
  </si>
  <si>
    <t>Contract Receivable from Other Governmental Agency</t>
  </si>
  <si>
    <t>Restricted Assets:</t>
  </si>
  <si>
    <t>Cash and Cash Equivalents</t>
  </si>
  <si>
    <t>Net Pension Asset</t>
  </si>
  <si>
    <t xml:space="preserve">Capital assets, Not Depreciable: </t>
  </si>
  <si>
    <t>Capital Assets, Depreciable, Net:</t>
  </si>
  <si>
    <t>Buildings and Systems</t>
  </si>
  <si>
    <t>Improvements other than Buildings</t>
  </si>
  <si>
    <t>Machinery and Equipment</t>
  </si>
  <si>
    <t>Utility Systems</t>
  </si>
  <si>
    <t>Total Capital Assets, Depreciable</t>
  </si>
  <si>
    <t>Deferred Amount on Debt Refunding</t>
  </si>
  <si>
    <t>Deferred Outflow of Pension Resources</t>
  </si>
  <si>
    <t>Accounts Payable and Other Current Liabilities</t>
  </si>
  <si>
    <t>Accrued Interest Payable</t>
  </si>
  <si>
    <t>Due to Other Governmental Agencies</t>
  </si>
  <si>
    <t>Unearned Revenue</t>
  </si>
  <si>
    <t>Liabilities Payable from Restricted Assets:</t>
  </si>
  <si>
    <t>Deferred Inflows of Pension Resources</t>
  </si>
  <si>
    <t>Expendable</t>
  </si>
  <si>
    <t>Public Works - Transportation Projects</t>
  </si>
  <si>
    <t>Police Programs</t>
  </si>
  <si>
    <t>Grant Funded Programs</t>
  </si>
  <si>
    <t>Total Expendable</t>
  </si>
  <si>
    <t>Nonexpendable</t>
  </si>
  <si>
    <t/>
  </si>
  <si>
    <t>Culture and Recreation</t>
  </si>
  <si>
    <t>Total Nonexpendable</t>
  </si>
  <si>
    <t>`</t>
  </si>
  <si>
    <t>Public Works, Streets and Facilities</t>
  </si>
  <si>
    <t>Interest on Long-Term Debt</t>
  </si>
  <si>
    <t>St Petersburg Health Facilities Authority</t>
  </si>
  <si>
    <t>Total Component Unit</t>
  </si>
  <si>
    <t>Property Tax, Levied for general purposes</t>
  </si>
  <si>
    <t>Occupational Tax</t>
  </si>
  <si>
    <t>Franchise Tax</t>
  </si>
  <si>
    <t>Total Taxes</t>
  </si>
  <si>
    <t>Communication Service Tax</t>
  </si>
  <si>
    <t>Sales Tax</t>
  </si>
  <si>
    <t>Local Option Sales Surtax</t>
  </si>
  <si>
    <t>State Tax Revenue Sharing (unrestricted)</t>
  </si>
  <si>
    <t>Gasoline Tax</t>
  </si>
  <si>
    <t>Tax Increment</t>
  </si>
  <si>
    <t>Miscellaneous Taxes</t>
  </si>
  <si>
    <t>Total Intergovernmental</t>
  </si>
  <si>
    <t>Earnings on investments</t>
  </si>
  <si>
    <t>Gain on sale of capital assets</t>
  </si>
  <si>
    <t>Total General Revenues and Transfers</t>
  </si>
  <si>
    <t>Change in Net Position</t>
  </si>
  <si>
    <t>Net Position - October 1</t>
  </si>
  <si>
    <t>Net Position - September 30</t>
  </si>
  <si>
    <t>General Capital Improvements</t>
  </si>
  <si>
    <t>Restricted Cash</t>
  </si>
  <si>
    <t>Restricted Investments</t>
  </si>
  <si>
    <t>Accounts</t>
  </si>
  <si>
    <t>Accrued Interest</t>
  </si>
  <si>
    <t>Notes</t>
  </si>
  <si>
    <t>Due from Other Governmental Agencies:</t>
  </si>
  <si>
    <t>Grants and Cost Reimbursement</t>
  </si>
  <si>
    <t>State of Florida - Shared Revenue</t>
  </si>
  <si>
    <t>Pinellas County - Shared Revenue</t>
  </si>
  <si>
    <t>Pinellas County - Services</t>
  </si>
  <si>
    <t>Pinellas County - Fines</t>
  </si>
  <si>
    <t xml:space="preserve">TotalDue from Other Governmental Agencies:  </t>
  </si>
  <si>
    <t>Prepaid Costs and Deposits</t>
  </si>
  <si>
    <t>Advances to Other Funds</t>
  </si>
  <si>
    <t>Vouchers and Accounts Payable</t>
  </si>
  <si>
    <t>Accrued Salaries</t>
  </si>
  <si>
    <t>Other Accrued Liabilities</t>
  </si>
  <si>
    <t>Retainage on Contracts</t>
  </si>
  <si>
    <t>Due to Other Funds</t>
  </si>
  <si>
    <t>Deferred Inflows of Resources</t>
  </si>
  <si>
    <t>Deferred Inflows from Assessments</t>
  </si>
  <si>
    <t>Deferred Inflows from Notes Receivable</t>
  </si>
  <si>
    <t>Deferred Inflows from Advanced Grant Receipts</t>
  </si>
  <si>
    <t>Deferred Inflows from Future Revenues</t>
  </si>
  <si>
    <t>Non-Spendable</t>
  </si>
  <si>
    <t>Committed</t>
  </si>
  <si>
    <t>State – Other</t>
  </si>
  <si>
    <t>Pinellas County - Sales Tax</t>
  </si>
  <si>
    <t>Pinellas County – Other</t>
  </si>
  <si>
    <t>Total Intergovernmental Revenue</t>
  </si>
  <si>
    <t>Total of Use of Money and Property</t>
  </si>
  <si>
    <t>Miscellaneous:</t>
  </si>
  <si>
    <t>Settlement Revenues</t>
  </si>
  <si>
    <t xml:space="preserve">Total Of Miscellaneous  </t>
  </si>
  <si>
    <t>Total of Revenues</t>
  </si>
  <si>
    <t>Current Operations</t>
  </si>
  <si>
    <t>General Government</t>
  </si>
  <si>
    <t>Total of Public Safety</t>
  </si>
  <si>
    <t>Total Current operations</t>
  </si>
  <si>
    <t>Capital Outlay</t>
  </si>
  <si>
    <t>Excess (Deficiency) of Revenues Over  Expenditures</t>
  </si>
  <si>
    <t>Issuance of Refunding Debt</t>
  </si>
  <si>
    <t>Fund balance - October  1</t>
  </si>
  <si>
    <t>Fund balance - September  30</t>
  </si>
  <si>
    <t>Cash received from customers and users</t>
  </si>
  <si>
    <t>Cash payments for interfund services provided</t>
  </si>
  <si>
    <t>Cash payments to vendors for goods &amp; services</t>
  </si>
  <si>
    <t>Cash payments to employees for services</t>
  </si>
  <si>
    <t>(Payment) Receipt on Interfund Loan</t>
  </si>
  <si>
    <t>Transfers-in</t>
  </si>
  <si>
    <t>Transfers-out</t>
  </si>
  <si>
    <t>Proceeds from issuance of debt</t>
  </si>
  <si>
    <t>Acquisition &amp; Construction of Capital Assets</t>
  </si>
  <si>
    <t>Proceeds from sale of property, plant, equipment</t>
  </si>
  <si>
    <t>Bond fees and costs</t>
  </si>
  <si>
    <t>Interest paid on Revenue Bonds, Note Maturities &amp; Capital Lease</t>
  </si>
  <si>
    <t>Principal paid on Revenue Bonds, Note Maturities &amp; Capital Lease</t>
  </si>
  <si>
    <t>Payments to Escrow Agents - Debt Refunding</t>
  </si>
  <si>
    <t>Purchase, Sale and Maturities of Investments, net</t>
  </si>
  <si>
    <t>Interest received on investments</t>
  </si>
  <si>
    <t>Depreciation</t>
  </si>
  <si>
    <t>Amortization</t>
  </si>
  <si>
    <t>Other non-operating income (loss), net</t>
  </si>
  <si>
    <t>Accounts Receivable, DFOG, net</t>
  </si>
  <si>
    <t>Prepaids &amp; Other Assets</t>
  </si>
  <si>
    <t>Accounts Payable &amp; Accrued Liabilities</t>
  </si>
  <si>
    <t>Accrued Salary, Compensated Absences and OPEB</t>
  </si>
  <si>
    <t>Other </t>
  </si>
  <si>
    <t>Principal Payments </t>
  </si>
  <si>
    <t>Interest Payments </t>
  </si>
  <si>
    <t>Remarketing and Other Fees </t>
  </si>
  <si>
    <t>Total Other Financing Sources/(Uses)</t>
  </si>
  <si>
    <t>Excess (Deficiency) of Revenues and  Other  Sources Over Expenditures and Other Uses</t>
  </si>
  <si>
    <t>Statement of Revenue ,Expenses and Changes in Net Positions Proprietary Funds</t>
  </si>
  <si>
    <t>Total Internal service funds</t>
  </si>
  <si>
    <t>Total Enterprise Funds</t>
  </si>
  <si>
    <t>Operating Revenues</t>
  </si>
  <si>
    <t>Sales - Water</t>
  </si>
  <si>
    <t>Sales - Wastewater</t>
  </si>
  <si>
    <t>Sales and Concessions</t>
  </si>
  <si>
    <t>Service Charges and Fees</t>
  </si>
  <si>
    <t>Rentals and Parking</t>
  </si>
  <si>
    <t>Total Operating Revenues</t>
  </si>
  <si>
    <t>Operating Expenses</t>
  </si>
  <si>
    <t>Personal Services and Benefits</t>
  </si>
  <si>
    <t>Supplies, Services and Claims</t>
  </si>
  <si>
    <t>General Administrative Charges</t>
  </si>
  <si>
    <t>Total Operating Expenses</t>
  </si>
  <si>
    <t>Nonoperating Revenues (Expenses)</t>
  </si>
  <si>
    <t>Other Interest Revenue</t>
  </si>
  <si>
    <t>Interest Expense</t>
  </si>
  <si>
    <t>Issue Cost and Amortization of Bond Discount</t>
  </si>
  <si>
    <t>Gain (Loss) on Disposition of Capital Assets</t>
  </si>
  <si>
    <t>Miscellaneous Revenue</t>
  </si>
  <si>
    <t>Total Nonoperating Revenues (Expenses)</t>
  </si>
  <si>
    <t>Income (Loss) Before Contributions and Transfers</t>
  </si>
  <si>
    <t>Transfers and Contributions</t>
  </si>
  <si>
    <t xml:space="preserve">  Transfers In (Out):</t>
  </si>
  <si>
    <t>Total Transfers and Contributions</t>
  </si>
  <si>
    <t>Net Operating Income (Loss)</t>
  </si>
  <si>
    <t>Change in Net Position (from above)</t>
  </si>
  <si>
    <t>Adjustment to reflect the consolidation of Internal Service Fund Activities related to Enterprise Funds.</t>
  </si>
  <si>
    <t>Change in Net Position of Business-Type Activities.</t>
  </si>
  <si>
    <t xml:space="preserve">Governmental
Activities - Internal
Service Funds
</t>
  </si>
  <si>
    <t>StormWater</t>
  </si>
  <si>
    <t>Nonmajor Enterprise Funds</t>
  </si>
  <si>
    <t>Unbilled Revenues</t>
  </si>
  <si>
    <t>Total of Receivables (Net,where applicable, of Allowances for Uncollectibles):</t>
  </si>
  <si>
    <t>Services</t>
  </si>
  <si>
    <t>Contracts</t>
  </si>
  <si>
    <t>Total of Due From Governmental Agencies:</t>
  </si>
  <si>
    <t>Prepaid Expenses and Deposites</t>
  </si>
  <si>
    <t xml:space="preserve">  Assessments (Net of Uncollectible)</t>
  </si>
  <si>
    <t xml:space="preserve">  Contract Receivable from Other Governmental Agency</t>
  </si>
  <si>
    <t>Buildings</t>
  </si>
  <si>
    <t>Improvements</t>
  </si>
  <si>
    <t>Projects in Progress</t>
  </si>
  <si>
    <t>Accumulated Depreciation</t>
  </si>
  <si>
    <t>Total Capital Assets</t>
  </si>
  <si>
    <t>Deferred outflows of Resources</t>
  </si>
  <si>
    <t>Deferred Outflows of Pension Resources</t>
  </si>
  <si>
    <t>Total of Deferred outflows of Resources</t>
  </si>
  <si>
    <t>Accrued Annual Leave</t>
  </si>
  <si>
    <t>Claims - Current Portion</t>
  </si>
  <si>
    <t>Notes Payable - Current Portion</t>
  </si>
  <si>
    <t>Payable from Restricted Assets</t>
  </si>
  <si>
    <t>Bonds and Notes Payable - Current Portion</t>
  </si>
  <si>
    <t>Total  Payable From Restricted Assets</t>
  </si>
  <si>
    <t>Other Current Liablities</t>
  </si>
  <si>
    <t>Long - term Liablities:</t>
  </si>
  <si>
    <t>Advance from Other Funds</t>
  </si>
  <si>
    <t>Accrued Annual Leave less Current Portion</t>
  </si>
  <si>
    <t>Notes Payable - State</t>
  </si>
  <si>
    <t>Revenue Bonds Payable</t>
  </si>
  <si>
    <t>Claims</t>
  </si>
  <si>
    <t>Obligation for OPEB</t>
  </si>
  <si>
    <t>Unamortized Discount (Premium)</t>
  </si>
  <si>
    <t>Notes Payable</t>
  </si>
  <si>
    <t>Total  Long -term  liabilities</t>
  </si>
  <si>
    <t>Deferred inflows of Resources</t>
  </si>
  <si>
    <t>Receivables (Net, where applicable, of   Allowances for Uncollectibles)</t>
  </si>
  <si>
    <t>Details of employee retirement and pension plans</t>
  </si>
  <si>
    <t>Sr.No.</t>
  </si>
  <si>
    <t>Pension plan name</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</si>
  <si>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</si>
  <si>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</si>
  <si>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</si>
  <si>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</si>
  <si>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</si>
  <si>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</si>
  <si>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</si>
  <si>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</si>
  <si>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</si>
  <si>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</si>
  <si>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</si>
  <si>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</si>
  <si>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</si>
  <si>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</si>
  <si>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</si>
  <si>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</si>
  <si>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</si>
  <si>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</si>
  <si>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</si>
  <si>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</si>
  <si>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</si>
  <si>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</si>
  <si>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</si>
  <si>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</si>
  <si>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</si>
  <si>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</si>
  <si>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Delete Pension Plan</t>
  </si>
  <si>
    <t>Details of other post employment benefits</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</si>
  <si>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</si>
  <si>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</si>
  <si>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</si>
  <si>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</si>
  <si>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</si>
  <si>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</si>
  <si>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</si>
  <si>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</si>
  <si>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</si>
  <si>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</si>
  <si>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</si>
  <si>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</si>
  <si>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</si>
  <si>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</si>
  <si>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</si>
  <si>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</si>
  <si>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Employees Retirement Fund</t>
  </si>
  <si>
    <t>Total</t>
  </si>
  <si>
    <t>Trustee Accounts</t>
  </si>
  <si>
    <t>Receivables:</t>
  </si>
  <si>
    <t>Interest and Dividends</t>
  </si>
  <si>
    <t xml:space="preserve">Accounts </t>
  </si>
  <si>
    <t>Unsettled Investment Sales</t>
  </si>
  <si>
    <t>Investments, at Fair Value:</t>
  </si>
  <si>
    <t>DROP Investments</t>
  </si>
  <si>
    <t>Government Securities</t>
  </si>
  <si>
    <t>Corporate Bonds</t>
  </si>
  <si>
    <t>Common and Preferred Stock</t>
  </si>
  <si>
    <t>Mutual Funds</t>
  </si>
  <si>
    <t>Alternative Investments</t>
  </si>
  <si>
    <t>Unsettled Investment Purchases</t>
  </si>
  <si>
    <t>DROP Liability</t>
  </si>
  <si>
    <t>Net Position Restricted for Pensions</t>
  </si>
  <si>
    <t>Fire Pension Fund</t>
  </si>
  <si>
    <t>Police Pension Fund</t>
  </si>
  <si>
    <t>ADDITIONS</t>
  </si>
  <si>
    <t>Employer (Charges to Other Funds)</t>
  </si>
  <si>
    <t>Employees</t>
  </si>
  <si>
    <t>State Insurance Fund</t>
  </si>
  <si>
    <t>Total Contributions</t>
  </si>
  <si>
    <t>Investment Income</t>
  </si>
  <si>
    <t>Net Increase (Decrease) in Fair Value of Investments</t>
  </si>
  <si>
    <t>Interest on Investments</t>
  </si>
  <si>
    <t>Dividends on Stock</t>
  </si>
  <si>
    <t>Total Investment Income</t>
  </si>
  <si>
    <t>Less Investment Expense</t>
  </si>
  <si>
    <t>Net Investment Income</t>
  </si>
  <si>
    <t>Total Additions</t>
  </si>
  <si>
    <t>DEDUCTIONS</t>
  </si>
  <si>
    <t>Benefits</t>
  </si>
  <si>
    <t>Deferred Retirement Option Contributions</t>
  </si>
  <si>
    <t>Refunds on Contributions</t>
  </si>
  <si>
    <t>Administrative Expenses</t>
  </si>
  <si>
    <t>Total Deductions</t>
  </si>
  <si>
    <t>Combining Statement of Fiduciary Net Position</t>
  </si>
  <si>
    <t>Pension Trust Funds</t>
  </si>
  <si>
    <t>Changes in Fiduciary Net Position - Pension Trust</t>
  </si>
  <si>
    <t>Debt Limit - Percentage of Taxable Assessed Value  (2)</t>
  </si>
  <si>
    <t>Legal Limitation for the Issuance of General Obligation Bonds</t>
  </si>
  <si>
    <t>Local Option Sales surtax improvement</t>
  </si>
  <si>
    <t>Governmental activities - Internal service funds</t>
  </si>
  <si>
    <t>Cash flows from operating activities</t>
  </si>
  <si>
    <t>Cash flow from non capital financing activities</t>
  </si>
  <si>
    <t>Cash flows from capital &amp; related financing activities</t>
  </si>
  <si>
    <t>Cash flows from investing activities</t>
  </si>
  <si>
    <t>Net increase (decrease) in cash</t>
  </si>
  <si>
    <t xml:space="preserve">Cash at beginning of year </t>
  </si>
  <si>
    <t>Cash at year end</t>
  </si>
  <si>
    <t>element</t>
  </si>
  <si>
    <t>label</t>
  </si>
  <si>
    <t>type</t>
  </si>
  <si>
    <t>periodType</t>
  </si>
  <si>
    <t>validation</t>
  </si>
  <si>
    <t>General Information</t>
  </si>
  <si>
    <t>NameOfTheGovernment</t>
  </si>
  <si>
    <t>xbrli:stringItemType</t>
  </si>
  <si>
    <t>duration</t>
  </si>
  <si>
    <t>This is mandatory fiels. Please enter government name.</t>
  </si>
  <si>
    <t>DateOfStartOfFinancialYear</t>
  </si>
  <si>
    <t>xbrli:dateItemType</t>
  </si>
  <si>
    <t>instant</t>
  </si>
  <si>
    <t>This is mandatory fiels. Please enter start date of financial year in "dd-MM-yyyy" format.</t>
  </si>
  <si>
    <t>DateOfEndOfFinancialYear</t>
  </si>
  <si>
    <t>This is mandatory fiels. Please enter end date of financial year in "dd-MM-yyyy" format.</t>
  </si>
  <si>
    <t>Please enter URL that contains image extension like ("ani", "bmp", "cal", "eps", "fax", "gif", "img", "jbg", "jpe", "jpeg", "jpg", "Mac", "pbm", "pcd", "pcx", "pct", "pgm", "png", "ppm", "psd", "ras", "tga", "tiff", "wmf").</t>
  </si>
  <si>
    <t>xbrli:monetaryItemType</t>
  </si>
  <si>
    <t>InternalBalances</t>
  </si>
  <si>
    <t>StatementofNetPositionAssets</t>
  </si>
  <si>
    <t>DeferredOutflowsOfResources</t>
  </si>
  <si>
    <t>NetPosition</t>
  </si>
  <si>
    <t>Gov Fund St of Rev Exp &amp; Bal</t>
  </si>
  <si>
    <t>Total Restricted Assets</t>
  </si>
  <si>
    <t>NetPensionAsset</t>
  </si>
  <si>
    <t>AssetsCashAndCashEquivalents</t>
  </si>
  <si>
    <t>ReceivablesNetOfAllowanceForUncollectibles</t>
  </si>
  <si>
    <t>DueFromOtherGovernmentalAgencies</t>
  </si>
  <si>
    <t>AssetsInventories</t>
  </si>
  <si>
    <t>AssetsPropertyHeldForResale</t>
  </si>
  <si>
    <t>PrepaidsAndDeposits</t>
  </si>
  <si>
    <t>AssetsContractReceivableFromOtherGovernmentalAgency</t>
  </si>
  <si>
    <t>RestrictedAssetsCashAndCashEquivalents</t>
  </si>
  <si>
    <t>RestrictedAssetsInvestments</t>
  </si>
  <si>
    <t>RestrictedAssets</t>
  </si>
  <si>
    <t>CapitalAssetsNotDepreciableConstructionInProgress</t>
  </si>
  <si>
    <t>CapitalAssetsNotDepreciableCapitalAssetsNotDepreciable</t>
  </si>
  <si>
    <t>CapitalAssetsDepreciableBuildingsAndSystems</t>
  </si>
  <si>
    <t>CapitalAssetsDepreciableImprovementsOtherThanBuildings</t>
  </si>
  <si>
    <t>CapitalAssetsDepreciableMachineryAndEquipment</t>
  </si>
  <si>
    <t>CapitalAssetsDepreciableUtilitySystems</t>
  </si>
  <si>
    <t>CapitalAssetsDepreciable</t>
  </si>
  <si>
    <t>DeferredAmountOnDebtRefunding</t>
  </si>
  <si>
    <t>DeferredOutflowOfPensionResources</t>
  </si>
  <si>
    <t>AccountsPayableAndOtherCurrentLiabilities</t>
  </si>
  <si>
    <t>LiabilitiesAccruedInterestPayable</t>
  </si>
  <si>
    <t>DueToOtherGovernmentalAgencies</t>
  </si>
  <si>
    <t>LiabilitiesUnearnedRevenue</t>
  </si>
  <si>
    <t>LiabilitiesDeposits</t>
  </si>
  <si>
    <t>DueWithinOneYear</t>
  </si>
  <si>
    <t>DueInMoreThanOneYear</t>
  </si>
  <si>
    <t>NoncurrentLiabilitiesNetPensionLiability</t>
  </si>
  <si>
    <t>NoncurrentLiabilitiesOPEBLiability</t>
  </si>
  <si>
    <t>StatementofNetPositionNoncurrentLiabilities</t>
  </si>
  <si>
    <t>StatementofNetPositionLiabilities</t>
  </si>
  <si>
    <t>DeferredInflowsPensionPlanResources</t>
  </si>
  <si>
    <t>DeferredInflowsOfResources</t>
  </si>
  <si>
    <t>StatementofNetPositionNetInvestmentInCapitalAssets</t>
  </si>
  <si>
    <t>PublicWorksTransportationProjects</t>
  </si>
  <si>
    <t>PolicePrograms</t>
  </si>
  <si>
    <t>GrantFundedPrograms</t>
  </si>
  <si>
    <t>DebtService</t>
  </si>
  <si>
    <t>NonexpendableCultureAndRecreation</t>
  </si>
  <si>
    <t>TotalRestricted</t>
  </si>
  <si>
    <t>StatementofNetPositionUnrestricted</t>
  </si>
  <si>
    <t>Cash  and  Cash  Equivalents</t>
  </si>
  <si>
    <t>Total Capital Assets, Not Depreciable</t>
  </si>
  <si>
    <t>ChargesForServices</t>
  </si>
  <si>
    <t>OperatingGrantsAndContributions</t>
  </si>
  <si>
    <t>CapitalGrantsAndContributions</t>
  </si>
  <si>
    <t>ExpenseRevenueChangesInNetPosition</t>
  </si>
  <si>
    <t>ComponentUnit</t>
  </si>
  <si>
    <t>PropertyTaxLeviedForGeneralPurposes</t>
  </si>
  <si>
    <t>PublicServiceTaxes</t>
  </si>
  <si>
    <t>OccupationalTax</t>
  </si>
  <si>
    <t>FranchiseTaxes</t>
  </si>
  <si>
    <t>TotalTaxes</t>
  </si>
  <si>
    <t>CommunicationServiceTax</t>
  </si>
  <si>
    <t>SalesTax</t>
  </si>
  <si>
    <t>LocalOptionSalesSurtax</t>
  </si>
  <si>
    <t>StateTaxRevenueSharingUnrestricted</t>
  </si>
  <si>
    <t>GasolineTax</t>
  </si>
  <si>
    <t>TaxIncrement</t>
  </si>
  <si>
    <t>MiscellaneousTaxes</t>
  </si>
  <si>
    <t>TotalIntergovernmental</t>
  </si>
  <si>
    <t>EarningsOnInvestment</t>
  </si>
  <si>
    <t>GainOnSaleOfCapitalAssets</t>
  </si>
  <si>
    <t>MiscellaneousIncome</t>
  </si>
  <si>
    <t>GeneralRevenuesAndTransfers</t>
  </si>
  <si>
    <t>ChangeInNetPosition</t>
  </si>
  <si>
    <t>AccruedInterest</t>
  </si>
  <si>
    <t>Receivable</t>
  </si>
  <si>
    <t>DueFromOtherFunds</t>
  </si>
  <si>
    <t>GrantsAndCostReimbursement</t>
  </si>
  <si>
    <t>StateOfFloridaSharedRevenue</t>
  </si>
  <si>
    <t>PinellasCountySharedRevenue</t>
  </si>
  <si>
    <t>PinellasCountyServices</t>
  </si>
  <si>
    <t>PinellasCountyFines</t>
  </si>
  <si>
    <t>DueFromOtherGovernmentalAgencie</t>
  </si>
  <si>
    <t>PrepaidCostAndDeposits</t>
  </si>
  <si>
    <t>AdvancesToOtherFunds</t>
  </si>
  <si>
    <t>TotalAssets</t>
  </si>
  <si>
    <t>VouchersAndAccountsPayable</t>
  </si>
  <si>
    <t>OtherAccruedLiabilities</t>
  </si>
  <si>
    <t>LiabilitiesRetainageOnContracts</t>
  </si>
  <si>
    <t>LiabilitiesDueToOtherGovernmentalAgencies</t>
  </si>
  <si>
    <t>LiabilitiesDueToOtherFunds</t>
  </si>
  <si>
    <t>TotalLiabilities</t>
  </si>
  <si>
    <t>DeferredInflowsFromAssessments</t>
  </si>
  <si>
    <t>DeferredInflowsFromNotesReceivable</t>
  </si>
  <si>
    <t>DeferredInflowsFromAdvancedGrantReceipts</t>
  </si>
  <si>
    <t>DeferredInflowsFromFutureRevenues</t>
  </si>
  <si>
    <t>DeferredInflowsOfResource</t>
  </si>
  <si>
    <t>Nonspendable</t>
  </si>
  <si>
    <t>FundBalances</t>
  </si>
  <si>
    <t>LiabilitiesDeferredInflowsAndFundBalances</t>
  </si>
  <si>
    <t>NatureOfGovernmentalFunds</t>
  </si>
  <si>
    <t>Nature of governmental funds</t>
  </si>
  <si>
    <t>AssetsInvestments</t>
  </si>
  <si>
    <t>RestrictedCash</t>
  </si>
  <si>
    <t>RestrictedInvestments</t>
  </si>
  <si>
    <t>AccruedSalaries</t>
  </si>
  <si>
    <t>Total deferred inflows of  Resources</t>
  </si>
  <si>
    <t>Due to Other Governmental  Agencies</t>
  </si>
  <si>
    <t>Total  assets</t>
  </si>
  <si>
    <t>Cash and Cash  Equivalents</t>
  </si>
  <si>
    <t xml:space="preserve"> Investments</t>
  </si>
  <si>
    <t xml:space="preserve"> Deposits</t>
  </si>
  <si>
    <t>RevenuesTaxes</t>
  </si>
  <si>
    <t>PublicServiceTax</t>
  </si>
  <si>
    <t>RevenuesLicensesAndPermits</t>
  </si>
  <si>
    <t>FinesAndForfeitures</t>
  </si>
  <si>
    <t>ChargesForServicesAndUserFees</t>
  </si>
  <si>
    <t>ChargesForGeneralAdministration</t>
  </si>
  <si>
    <t>FederalStateAndOtherGrants</t>
  </si>
  <si>
    <t>StateSalesTax</t>
  </si>
  <si>
    <t>StateRevenueSharing</t>
  </si>
  <si>
    <t>StateCommunicationServiceTax</t>
  </si>
  <si>
    <t>StateOther</t>
  </si>
  <si>
    <t>PinellasCountyGasolineTax</t>
  </si>
  <si>
    <t>PinellasCountySalesTax</t>
  </si>
  <si>
    <t>PinellasCountyTaxIncrement</t>
  </si>
  <si>
    <t>PinellasCountyOther</t>
  </si>
  <si>
    <t>TotalIntergovernmentalRevenue</t>
  </si>
  <si>
    <t>EarningsOnInvestments</t>
  </si>
  <si>
    <t>UseOfMoneyAndProperty</t>
  </si>
  <si>
    <t>Assessment</t>
  </si>
  <si>
    <t>DispositionsOfProperty</t>
  </si>
  <si>
    <t>SettlementRevenues</t>
  </si>
  <si>
    <t>TotalMiscellaneous</t>
  </si>
  <si>
    <t>GeneralGovernment</t>
  </si>
  <si>
    <t>CommunityAndEconomicDevelopment</t>
  </si>
  <si>
    <t>PublicWorks</t>
  </si>
  <si>
    <t>FireAndEMS</t>
  </si>
  <si>
    <t>PublicSafety</t>
  </si>
  <si>
    <t>RecreationCultureAndSocial</t>
  </si>
  <si>
    <t>CurrentOperations</t>
  </si>
  <si>
    <t>PrincipalPayments</t>
  </si>
  <si>
    <t>InterestPayments</t>
  </si>
  <si>
    <t>RemarketingAndOtherFees</t>
  </si>
  <si>
    <t>ExpendituresDebtService</t>
  </si>
  <si>
    <t>CapitalOutlay</t>
  </si>
  <si>
    <t>ExcessDeficiencyOfRevenuesOverUnderExpenditures</t>
  </si>
  <si>
    <t>TransfersIn</t>
  </si>
  <si>
    <t>TransfersOut</t>
  </si>
  <si>
    <t>OtherFinancingSourcesUsesIssuanceOfDebt</t>
  </si>
  <si>
    <t>OtherFinancingSourcesUses</t>
  </si>
  <si>
    <t>ChangeInFundBalances</t>
  </si>
  <si>
    <t>FundBalance</t>
  </si>
  <si>
    <t>CashAndCashEquivalents</t>
  </si>
  <si>
    <t>Public Service  Tax</t>
  </si>
  <si>
    <t>Earnings on  Investments</t>
  </si>
  <si>
    <t xml:space="preserve">Taxes </t>
  </si>
  <si>
    <t xml:space="preserve">Assessments </t>
  </si>
  <si>
    <t>Investment</t>
  </si>
  <si>
    <t>Police Officers and Firefighters Defined Benefit Pension Plan</t>
  </si>
  <si>
    <t>0</t>
  </si>
  <si>
    <t>39</t>
  </si>
  <si>
    <t>455</t>
  </si>
  <si>
    <t>10-01-2015</t>
  </si>
  <si>
    <t>38.19</t>
  </si>
  <si>
    <t>Entry Age Normal</t>
  </si>
  <si>
    <t>Level Percent, Closed</t>
  </si>
  <si>
    <t>2000</t>
  </si>
  <si>
    <t>30 years</t>
  </si>
  <si>
    <t>Market Value (Fair value)</t>
  </si>
  <si>
    <t>7.50</t>
  </si>
  <si>
    <t>3</t>
  </si>
  <si>
    <t>5</t>
  </si>
  <si>
    <t>09-30-2016</t>
  </si>
  <si>
    <t>multi-employer health plan</t>
  </si>
  <si>
    <t>4</t>
  </si>
  <si>
    <t>2.75</t>
  </si>
  <si>
    <t>060068073086032105100061084069088084066076079067075032099111110116101110116069100105116097098108101061116114117101032115116121108101061034072069073071072084058032049048048037059032087073068084072058032049048048037034062013010060068073086062079080069066032078079116101115060047068073086062060047068073086062</t>
  </si>
  <si>
    <t>060068073086032105100061084069088084066076079067075032099111110116101110116069100105116097098108101061116114117101032115116121108101061034072069073071072084058032049048048037059032087073068084072058032049048048037034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32079084072069082032080079083084045069077080076079089077069078084032066069078069070073084083060063120109108058110097109101115112097099101032112114101102105120032061032034111034032110115032061032034117114110058115099104101109097115045109105099114111115111102116045099111109058111102102105099101058111102102105099101034032047062060111058112062060047111058112062060047083080065078062060047085062060047066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46060083080065078032115116121108101061034109115111045116097098045099111117110116058032049034062038110098115112059038110098115112059038110098115112059038110098115112059038110098115112059038110098115112059038110098115112059038110098115112059032060047083080065078062083085080080076069077069078084065076032080065089077069078084083032076073065066073076073084089032070079082032067069082084065073078032080079076073067069032079070070073067069082083039032060085062060111058112062060047111058112062060047085062060047083080065078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66097099107103114111117110100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67101114116097105110032112111108105099101032111102102105099101114115032119104111032114101116105114101100032102114111109032077097114099104032050048048056032116104114111117103104032070101098114117097114121032050048049049032119101114101032112097105100032098101110101102105116115032102114111109032116104101032080111108105099101032079102102105099101114115146032082101116105114101109101110116032083121115116101109032040147080079082083148041032116104097116032101120099101101100101100032116104101032097109111117110116032117110100101114032116104101032116101114109115032111102032116104101032082101116105114101109101110116032083121115116101109032100117101032116111032105110099108117115105111110032111102032101120116114097032099111109112101110115097116105111110032105110032116104101032100101116101114109105110097116105111110032111102032098101110101102105116115046032070111114032099101114116097105110032114101116105114101101115032119104111032104097118101032101108101099116101100032116111032112097114116105099105112097116101044032116104101032067105116121032119105108108032099111110116105110117101032116111032112097121032100105114101099116108121032116111032116104101032114101116105114101101032097110032097109111117110116032105110032101120099101115115032111102032116104101032099111114114101099116101100032098101110101102105116032112097121097098108101032117110100101114032116104101032080079082083032040147115117112112108101109101110116097108032112097121109101110116115148041046032084104101114101032097114101032053050032109101109098101114115032114101099101105118105110103032115117112112108101109101110116097108032112097121109101110116115044032105110099108117100105110103032052054032114101116105114101100032109101109098101114115044032051032100105115097098108101100032109101109098101114115044032097110100032051032098101110101102105099105097114105101115046060111058112062060047111058112062060047070079078084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111058112062060070079078084032102097099101061065114105097108062038110098115112059060047070079078084062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76105097098105108105116121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84104101032067105116121032111098116097105110101100032097110032097099116117097114105097108032118097108117097116105111110032102111114032116104101032108105097098105108105116121032097115032111102032083101112116101109098101114032051048044032050048049055046032084104101032067105116121039115032108111110103032116101114109032111098108105103097116105111110032097115032111102032083101112116101109098101114032051048044032050048049055032097115115111099105097116101100032119105116104032116104101032115117112112108101109101110116097108032112097121109101110116115032102111114032112097114116105099105112097116105110103032112111108105099101032111102102105099101114115032105115032036049044049055052044048048048044032097115032114101112111114116101100032105110032116104101032083116097116101109101110116032111102032078101116032080111115105116105111110046060083080065078032115116121108101061034109115111045115112097099101114117110058032121101115034062038110098115112059032060047083080065078062060111058112062060047111058112062060047070079078084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111058112062060070079078084032102097099101061065114105097108062038110098115112059060047070079078084062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65099116117097114105097108032065115115117109112116105111110115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84104101032108105097098105108105116121032105115032098097115101100032111110032097032100105115099111117110116032114097116101032111102032052046053048037032097110100032116104101032109111114116097108105116121032116097098108101032117115101100032098121032116104101032070108111114105100097032082101116105114101109101110116032083121115116101109032102111114032105110100105118105100117097108115032099108097115115105102105101100032097115032115112101099105097108032114105115107046032084104101032109111114116097108105116121032116097098108101032105115032111110101032114101113117105114101100032098121032116104101032083116097116101032111102032070108111114105100097032040067104097112116101114032050048049053045049053055041032116111032098101032117115101100032102111114032108105097098105108105116121032099097108099117108097116105111110115032101102102101099116105118101032074097110117097114121032049044032050048049054032097110100032105115032116104101032115097109101032116097098108101032117115101100032102111114032116104101032079099116111098101114032049044032050048049055032097099116117097114105097108032118097108117097116105111110032102111114032116104101032080111108105099101032082101116105114101109101110116115032083121115116101109032040115097109101032109111114116097108105116121032116097098108101115032097115032116104101032080111108105099101032082101116105114101109101110116032083121115116101109032079099116111098101114032049044032050048049054032097099116117097114105097108032118097108117097116105111110041046032084104101032099097108099117108097116105111110115032119101114101032098097115101100032111110032109101109098101114032099101110115117115032100097116097032112114111118105100101100032098121032116104101032067105116121032102111114032116104101032112111108105099101032111102102105099101114115032114101099101105118105110103032116104101032115117112112108101109101110116097108032112097121109101110116115046032060066032115116121108101061034109115111045098105100105045102111110116045119101105103104116058032110111114109097108034062060085062060111058112062060047111058112062060047085062060047066062060047070079078084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6046060083080065078032115116121108101061034109115111045116097098045099111117110116058032049034062038110098115112059038110098115112059038110098115112059038110098115112059038110098115112059038110098115112059038110098115112059038110098115112059032060047083080065078062080079083084045082069084073082069077069078084032072069065076084072032066069078069070073084083060085062060111058112062060047111058112062060047085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0108097110032068101115099114105112116105111110058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02111108108111119115032071065083066032083116097116101109101110116032052053044032034060073032115116121108101061034109115111045098105100105045102111110116045115116121108101058032110111114109097108034062065099099111117110116105110103032097110100032070105110097110099105097108032082101112111114116105110103032098121032069109112108111121101114115032102111114032080111115116045101109112108111121109101110116032066101110101102105116115032111116104101114032116104097110032080101110115105111110115034060047073062032116111032097099099111117110116032102111114032099101114116097105110032112111115116045114101116105114101109101110116032104101097108116104032098101110101102105116115032112114111118105100101100032098121032116104101032067105116121046032065032115101112097114097116101032097117100105116101100032071065065080032098097115105115032112111115116032114101116105114101109101110116032112108097110032114101112111114116032105115032110111116032112114101112097114101100032102111114032116104105115032100101102105110101100032098101110101102105116032112108097110046032084104101032067105116121032115112111110115111114115032097032115105110103108101032101109112108111121101114032100101102105110101100032098101110101102105116032147111116104101114032112111115116045101109112108111121109101110116032098101110101102105116148032040147079080069066148041032112108097110046060083080065078032115116121108101061034109115111045115112097099101114117110058032121101115034062038110098115112059032060047083080065078062066101110101102105116115032097114101032115116105112117108097116101100032114101115111108117116105111110115032097112112114111118101100032098121032067105116121032067111117110099105108032097110100032116104114111117103104032117110105111110032097103114101101109101110116115032119105116104032116104101032101109112108111121101101115032097110100032097110121032099104097110103101115032116111032116104101032098101110101102105116115032109117115116032098101032097100100114101115115101100032116104114111117103104032117110105111110032110101103111116105097116105111110115046060083080065078032115116121108101061034109115111045115112097099101114117110058032121101115034062038110098115112059032060047083080065078062082101116105114101101115032119104111032109101101116032099101114116097105110032097103101032097110100032115101114118105099101032114101113117105114101109101110116115032109097121032101108101099116032099111118101114097103101032102111114032116104101109115101108118101115032097110100032100101112101110100101110116115032105110032111110101032111102032116104114101101032104101097108116104032112108097110115058032116119111032112114101102101114114101100032112114111118105100101114032111114103097110105122097116105111110115032040147080080079115148041032097110100032097110032101120099108117115105118101032112114111118105100101114032111114103097110105122097116105111110032040069080079041046060083080065078032115116121108101061034109115111045115112097099101114117110058032121101115034062038110098115112059032060047083080065078062065102116101114032097103101032054053044032114101116105114101101115032104097118101032116104101032097100100105116105111110097108032099104111105099101032111102032116119111032077101100105099097114101032065100118097110116097103101032112108097110115046060083080065078032115116121108101061034109115111045115112097099101114117110058032121101115034062038110098115112059032060047083080065078062084104101032067105116121032099117114114101110116108121032112097121115032097110032101120112108105099105116032115117098115105100121032101113117097108032116111032055053037032111102032116104101032098108101110100101100032040097099116105118101032097110100032114101116105114101100041032114097116101032102111114032116104101032108111119101115116032099111115116032080080079032040111114032116104101032116111116097108032112114101109105117109044032105102032108101115115041044032112108117115032116104101032105109112108105099105116032</t>
  </si>
  <si>
    <t>11511709811510510012103210111311709710803211611103211610410103210010510210210111410111009910103209810111611910110111003211610410103209709911611709710803211410111610511410110103209911111511603204014706508206714804103209711010003211610410103209810810111010010110003211409711610104606008308006507803211511612110810106103410911511104511511209709910111411711005803212110111503406203811009811511205903206004708308006507806206610110310511011010511010303207409711011709711412103204904403205004804904804403211610410103210909712010510911710903210011110810809711403209710911111711011603211110203211610410103210112011210810509910511603210110911210811112110111403211511709811510510012103211909711503210211411112210111003210211111403210110911210811112110110111503211910411103211410111610511410103209710211610111403205004804805704603208410410111510103211410111610511410110111503211910510810803211209712103211610410103210211710810803209911111511603211110203209711012103210511009911410109711510111503210511003211610410103209810810111010010110003211211410110910511710903210511003210112009910111511503211110203211610410103210211411112210111003210909712010510911710903211511709811510510012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5110103032080111108105099121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08108032111102032116104101032097098111118101032098101110101102105116032112108097110115032097114101032112114111118105100101100032116104114111117103104032105110115117114097110099101032099111109112097110105101115032111114032104101097108116104032109097105110116101110097110099101032111114103097110105122097116105111110115032040072077079041046032083111109101032104101097108116104032112108097110032112114101109105117109115032097114101032098097115101100032111110032116104101032098101110101102105116115032112097105100032100117114105110103032116104101032112108097110032112101114105111100032101110100105110103032077097114099104032051049046032084104101032067105116121032114101099111103110105122101115032116104101032099111115116032111102032112114111118105100105110103032098101110101102105116115032098121032101120112101110115105110103032109111110116104108121032112114101109105117109115044032111110032097032112097121045097115045121111117045103111032098097115105115046060083080065078032115116121108101061034109115111045115112097099101114117110058032121101115034062038110098115112059032060047083080065078062084104101114101032097114101032110111032112108097110115032097116032116104105115032116105109101032116111032102117110100032116104101032079080069066032108105097098105108105116121032097110100032116104101114101102111114101032116104101114101032097114101032110111032060083080065078032115116121108101061034066065067075071082079085078068058032119104105116101034062112108097110032060047083080065078062097115115101116115046060083080065078032115116121108101061034109115111045115112097099101114117110058032121101115034062038110098115112059032060047083080065078062070111114032116104101032102105115099097108032121101097114032101110100101100032083101112116101109098101114032051048044032050048049055044032116104101032099111115116032111102032114101116105114101101032104101097108116104032099097114101032102111114032060065032115116121108101061034109115111045099111109109101110116045114101102101114101110099101058032077074095049059032109115111045099111109109101110116045100097116101058032050048049056048051049048084049055053054034062049044049050048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49039044039095099111109095049039041034032111110109111117115101111117116061034109115111067111109109101110116072105100101040039095099111109095049039041034032105100061095097110099104111114095049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49034032110097109101061095109115111097110099104111114095049062060070079078084032102097099101061067097108105098114105062091077074049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32112097114116105099105112097110116115032119097115032036049051044050052049044056054053032111102032119104105099104032036052044056049049044057055052032119097115032112097105100032098121032116104101032114101116105114101101115046032084104101032067105116121032111102102060083080065078032115116121108101061034066065067075071082079085078068058032119104105116101034062101114115032118105115105111110044032100101110116097108032097110100032065068038097109112059068032112111108105099105101115032112097105100032102111114032101110116105114101108121032098121032097099116105118101032097110100032114101116105114101100032101109112108111121101101115046060047083080065078062060066032115116121108101061034109115111045098105100105045102111110116045119101105103104116058032110111114109097108034062060085062060111058112062060047111058112062060047085062060047066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0110117097108032079080069066032067111115116032097110100032079080069066032079098108105103097116105111110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14101099101105118101100032116104101032099117114114101110116032121101097114032114101115117108116115032111102032097110032097099116117097114105097108032118097108117097116105111110032114101112111114116032102111114032114101116105114101101032104101097108116104032098101110101102105116115032097115032111102032079099116111098101114032049044032050048049054032102111114032102105115099097108032121101097114032050048049055046032084104101032118097108117097116105111110032119097115032099111109112108101116101100032117110100101114032116104101032114101113117105114101109101110116115032111102032071065083066032083116097116101109101110116032052053046032084104101032100101118101108111112109101110116032111102032116104101032078101116032079080069066032079098108105103097116105111110032105115032108105115116101100032098101108111119032102111114032116104101032102105115099097108032121101097114032101110100101100032083101112116101109098101114032051048058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4065066076069032099108097115115061077115111078111114109097108084097098108101032115116121108101061034066079082068069082045084079080058032109101100105117109032110111110101059032066079082068069082045082073071072084058032109101100105117109032110111110101059032066079082068069082045067079076076065080083069058032099111108108097112115101059032066079082068069082045066079084084079077058032109101100105117109032110111110101059032077065082071073078058032097117116111032097117116111032097117116111032049046052112116059032066079082068069082045076069070084058032109101100105117109032110111110101059032109115111045116097098108101045108097121111117116045097108116058032102105120101100059032109115111045098111114100101114045098111116116111109045097108116058032115111108105100032119105110100111119116101120116032046050053112116059032109115111045112097100100105110103045097108116058032048105110032046055112116032048105110032046055112116034032099101108108083112097099105110103061048032099101108108080097100100105110103061048032098111114100101114061049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12097103105110097116105111110058032110111110101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t>
  </si>
  <si>
    <t>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5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4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3032060111058112062060047111058112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8210111311710511410110003206711111011611410509811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0059032109115111045099111109109101110116045100097116101058032050048049056048051049048084049055053056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3044054054052044048048048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0039044039095099111109095050039041034032111110109111117115101111117116061034109115111067111109109101110116072105100101040039095099111109095050039041034032105100061095097110099104111114095050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0034032110097109101061095109115111097110099104111114095050062060070079078084032102097099101061067097108105098114105062091077074050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4044052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t>
  </si>
  <si>
    <t>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53053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3110116101114101115116032111110032116104101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44050053053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6048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2051056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00106117115116109101110116032111110032116104101032065082067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t>
  </si>
  <si>
    <t>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2044052052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1044054048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0044056049050044048048048041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65110110117097108032079080069066032067111115116115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1059032109115111045099111109109101110116045100097116101058032050048049056048051049048084049055053056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2044052055057044048048050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1039044039095099111109095051039041034032111110109111117115101111117116061034109115111067111109109101110116072105100101040039095099111109095051039041034032105100061095097110099104111114095051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1034032110097109101061095109115111097110099104111114095051062060070079078084032102097099101061067097108105098114105062091077074051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t>
  </si>
  <si>
    <t>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6101115115058032067111110116114105098117116105111110115032109097100101032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4044048053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54052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48052049044048048048041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t>
  </si>
  <si>
    <t>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73110099114101097115101032105110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52050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48044048048054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49052048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098101103105110110105110103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t>
  </si>
  <si>
    <t>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6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101110100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2059032109115111045099111109109101110116045100097116101058032050048049056048051049048084049056048051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6048044055053057044048048050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2039044039095099111109095052039041034032111110109111117115101111117116061034109115111067111109109101110116072105100101040039095099111109095052039041034032105100061095097110099104111114095052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2034032110097109101061095109115111097110099104111114095052062060070079078084032102097099101061067097108105098114105062091077074052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7059032109115111045121102116105045108097115116114111119058032121101115034062013010060084068032115116121108101061034066079082068069082045084079080058032035102048102048102048059032066079082068069082045082073071072084058032035102048102048102048059032087073068084072058032050046055105110059032066079082068069082045066</t>
  </si>
  <si>
    <t>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60047084082062060047084066079068089062060047084065066076069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39062060111058112062038110098115112059060047111058112062060047083080065078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80101114099101110116097103101032111102032065110110117097108032079080069066032067111115116032067111110116114105098117116101100032097110100032078101116032079080069066032079098108105103097116105111110060047083080065078062060047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47111058112062060047083080065078062060047080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83073090069058032049050112116059032070079078084045070065077073076089058032034084105109101115032078101119032082111109097110034044034115101114105102034059032109115111045102097114101097115116045102111110116045102097109105108121058032034084105109101115032078101119032082111109097110034059032109115111045098105100105045102111110116045115105122101058032049049046048112116039062060111058112062038110098115112059060047111058112062060047083080065078062060047080062013010060084065066076069032099108097115115061077115111078111114109097108084097098108101032115116121108101061034066079082068069082045067079076076065080083069058032099111108108097112115101059032077065082071073078058032097117116111032097117116111032097117116111032048046048053105110059032109115111045116097098108101045108097121111117116045097108116058032102105120101100059032109115111045112097100100105110103045097108116058032048105110032049046056112116032048105110032049046056112116059032109115111045098111114100101114045105110115105100101104058032046050053112116032115111108105100032098108097099107034032099101108108083112097099105110103061048032099101108108080097100100105110103061048032098111114100101114061048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0105115099097108032089101097114060066032115116121108101061034109115111045098105100105045102111110116045119101105103104116058032110111114109097108034062060111058112062060047111058112062060047066062060047083080065078062060047080062060047084068062013</t>
  </si>
  <si>
    <t>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79080069066032067111115116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711111011611410509811711610511111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8010111409910111011609710310103211110203206511011011709710803207908006906603206711111511603206711111011611410509811711610110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60066032115116121108101061034109115111045098105100105045102111110116045119101105103104116058032110111114109097108034062060111058112062060047111058112062060047066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5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2044052055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t>
  </si>
  <si>
    <t>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65032115116121108101061034109115111045099111109109101110116045114101102101114101110099101058032077074095053059032109115111045099111109109101110116045100097116101058032050048049056048051049048084049056048053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4044048053048044048048048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3039044039095099111109095053039041034032111110109111117115101111117116061034109115111067111109109101110116072105100101040039095099111109095053039041034032105100061095097110099104111114095053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3034032110097109101061095109115111097110099104111114095053062060070079078084032102097099101061067097108105098114105062091077074053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0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8044055053057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4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4052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t>
  </si>
  <si>
    <t>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4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3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48052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6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t>
  </si>
  <si>
    <t>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7050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44048056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3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1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6054056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t>
  </si>
  <si>
    <t>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3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56044051052054044048048048032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0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48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5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5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t>
  </si>
  <si>
    <t>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48044055051049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9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0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2055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49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51044053048050044048048048032060111058112062060047111058112062060047083080065078062060047080062060047084068062060047084082062013010060084082032115116121108101061034109115111045121102116105045105114111119058032056059032109115111045121102116105045108097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t>
  </si>
  <si>
    <t>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3050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49056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7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53044055050054044048048048032060111058112062060047111058112062060047083080065078062060047080062060047084068062060047084082062060047084066079068089062060047084065066076069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1100032083116097116117115032097110100032070117110100105110103032080114111103114101115115060047083080065078062060047085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5032111102032083101112116101109098101114032051048044032050048049055060083080065078032115116121108101061034066065067075071082079085078068058032119104105116101034062044032116104101032097099116117097114105097108032097099099114117101100032108105097098105108105116121032102111114032098101110101102105116115032119097115060047083080065078062032036060065032115116121108101061034109115111045099111109109101110116045114101102101114101110099101058032077074095054059032109115111045099111109109101110116045100097116101058032050048049056048051049048084049055053057034062049057057044055056049044048048048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54039044039095099111109095054039041034032111110109111117115101111117116061034109115111067111109109101110116072105100101040039095099111109095054039041034032105100061095097110099104111114095054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4034032110097109101061095109115111097110099104111114095054062060070079078084032102097099101061067097108105098114105062091077074054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066065067075071082079085078068058032119104105116101059032109115111045102097114101097115116045102111110116045102097109105108121058032065114105097108059032109115111045098105100105045102111110116045102097109105108121058032034084105109101115032078101119032082111109097110034039062044032097108108032111102032119104105099104032119097115032117110102117110100101100046032084104101032099111118101114101100032112097121114111108108032040097110110117097108032112097121114111108108032111102032097099116105118101032101109112108111121101101115032099111118101114101100032098121032116104101032080108097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110041032119097115032036049052051044049057052044049057051032097110100032116104101032114097116105111032111102032117110102117110100101100032097099116117097114105097108032097099099114117101100032108105097098105108105116121032040085065065076041032116111032099111118101114101100032112097121114111108108032105115032049051057046053037046060083080065078032115116121108101061034066065067075071082079085078068058032119104105116101034062060111058112062060047111058112062060047083080065078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60066032115116121108101061034109115111045098105100105045102111110116045119101105103104116058032110111114109097108034062060085062060083080065078032115116121108101061039070079078084045083073090069058032049049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7110115105045108097110103117097103101058032069078045085083059032109115111045102097114101097115116045108097110103117097103101058032069078045085083059032109115111045098105100105045108097110103117097103101058032065082045083065039062060066082032115116121108101061034080065071069045066082069065075045066069070079082069058032097108119097121115034032099108101097114061097108108062060047083080065078062060047085062060047066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t>
  </si>
  <si>
    <t>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11809710811709711610511111011503211410110210810109911603209703210811111010304511610111410903211210111411511210109911610511810103209711010003210511011811110811810103210111511610510909711610111503211110203211610410103211809710811710103211110203211410111211111411610110003209710911111711011611503209711010003209711511511710911211610511111011503209709811111711603211610410103211211411109809709810510810511612103211110203210111810111011611503210209711403210511011611103211610410103210211711611711410104403209711010003209709911611709711410509710810812103210010111610111410910511010110003209710911111711011611503209711410103211511709810610109911603211611103209911111011610511011709710803211410111810511510511111003209711503209709911611709710803211410111511710811611503209711410103209911110911209711410110003211611103211209711511603210112011210109911609711610511111011503209711010003211010111903210111511610510909711610111503209711410103210909710010103209709811111711603211610410103210211711611711410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11509910410110011710810103211110203210311111810111411010910111011603209911111011611410509811711610511111011503209711010003211611911103212110109711403211611410111010003210511010211111410909711610511111003209710811111010303211910511610403211610410103211509910410110011710810103211110203210211711010010511010303211211411110311410111511503210211111403211610410103209911711411410111011603212110109711403209711010003211611911103212110109711411503211211410511111403204011610410103210009711610111503211110203211610410103209709911611709711410509710803211809710811709711610511111011503209711503211410111311710511410110004103209909711003209810103210211111711010003210511003211610410103208210111311710511410110003208311711211210810110910111011609711412103207311010211111410909711610511111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077101116104111100115032111102032065115115117109112116105111110115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097108099117108097116105111110115032097114101032098097115101100032111110032116104101032116121112101115032111102032098101110101102105116115032112114111118105100101100032117110100101114032116104101032116101114109115032111102032116104101032115117098115116097110116105118101032112108097110044032105110099108117100105110103032116104101032109101116104111100032111102032115104097114105110103032111102032099111115116115032098101116119101101110032116104101032101109112108111121101114032097110100032112108097110032109101109098101114115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3110032116104101032079099116111098101114032049044032050048049054032097099116117097114105097108032118097108117097116105111110044032116104101032080114111106101099116101100032085110105116032067114101100105116032097099116117097114105097108032099111115116032109101116104111100032119097115032117115101100046060083080065078032115116121108101061034109115111045115112097099101114117110058032121101115034062038110098115112059032060047083080065078062084104101032097099116117097114105097108032097115115117109112116105111110115032105110099108117100101100032097032060065032115116121108101061034109115111045099111109109101110116045114101102101114101110099101058032077074095055059032109115111045099111109109101110116045100097116101058032050048049056048051049048084049056048048034062051037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55039044039095099111109095055039041034032111110109111117115101111117116061034109115111067111109109101110116072105100101040039095099111109095055039041034032105100061095097110099104111114095055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5034032110097109101061095109115111097110099104111114095055062060070079078084032102097099101061067097108105098114105062091077074055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3210511010210809711610511111003211409711610104403205204605303703210511011810111511610910111011603211409711610103211110203211410111611711411003204011010111603211110203209710010910511010511511611409711610511810103210112011210111011510111504104403209711010003209710310311410110309711610103209911110911210111011509711610511111003210511503209711511511710910110003211611103210511009911410109711510103204904605304803703211210111403212110109711403210211111403211610410103208011110810509910103208010809711004403204804605003703211210111403212110109711403210211111403211610410103206908208304705204804909703208010809711004403209711010003204804604804803703210211111403211610410103207010511410103208010809711004606008308006507803211511612110810106103410911511104511511209709910111411711005803212110111503406203811009811511205903206004708308006507806206511011011709710803210410109710811610409909711410103209911111511603211611410111010003211409711610111503209711410103209809711510110003211111003209709911611709710803211211410110910511710903211409711610103210511009911410109711510111503210211411110903206511211410510803204904403205004804905403211611103206511211410510803204904403205004804905503209711503210211110810811111911505903205203703210211111403209710810803210410109710811610403211210809711011503211211410104505405304403205104605003703210211111403210211711611711410103211410111610511410110111503209711010003210112010511511610511010303211410111610511410110111503211910411103209711410103209911711411410111011610812103211711010010111403205405304403204504604805603703210211111403210112010511511610511010303211410111610511410110111503211111810111403205405303209911711411410111011610812103210111011411110810810110003209711010003204505304604803703210211111403210112010511511610511010303211410111610511410110111503211111810111403205405303209911711411410111011610812103210111011411110810810110004606008308006507803211511612110810106103410911511104511511209709910111411711005803212110111503406203811009811511205903206004708308006507806208410410103211711010211711010010110003209709911611709711410509710803209709909911411710110003210810509709810510810511612103210511503209810110511010303209710911111411610512210110003209711503209703210810111810110803211210111409910111011609710310103211110203211209712111411110810803211111810111403209711003211111210111003205104803212110109711403211210111410511110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13010060068073086032115116121108101061034109115111045101108101109101110116058032099111109109101110116045108105115116034062013010060072082032099108097115115061109115111099111109111102102032097108105103110061108101102116032083073090069061049032119105100116104061034051051037034062013010013010060068073086032115116121108101061034109115111045101108101109101110116058032099111109109101110116034062013010060068073086032111110109111117115101111118101114061034109115111067111109109101110116083104111119040039095097110099104111114095049039044039095099111109095049039041034032111110109111117115101111117116061034109115111067111109109101110116072105100101040039095099111109095049039041034032105100061095099111109095049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49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49034062060070079078084032102097099101061067097108105098114105062091077074049093060047070079078084062060047065062060047083080065078062060047083080065078062060047083080065078062060070079078084032115105122101061050032102097099101061067097108105098114105062079080069066080108097110082101116105114101100069109112108111121101101115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0039044039095099111109095050039041034032111110109111117115101111117116061034109115111067111109109101110116072105100101040039095099111109095050039041034032105100061095099111109095050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0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0034062060070079078084032102097099101061067097108105098114105062091077074050093060047070079078084062060047065062060047083080065078062060047083080065078062060047083080065078062060070079078084032115105122101061050032102097099101061067097108105098114105062079080069066065099116117097114105097108108121068101116101114109105110101100067111110116114105098117116105111110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1039044039095099111109095051039041034032111110109111117115101111117116061034109115111067111109109101110116072105100101040039095099111109095051039041034032105100061095099111109095051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1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t>
  </si>
  <si>
    <t>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1034062060070079078084032102097099101061067097108105098114105062091077074051093060047070079078084062060047065062060047083080065078062060047083080065078062060047083080065078062060070079078084032115105122101061050032102097099101061067097108105098114105062079080069066065110110117097108067111115116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2039044039095099111109095052039041034032111110109111117115101111117116061034109115111067111109109101110116072105100101040039095099111109095052039041034032105100061095099111109095052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2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2034062060070079078084032102097099101061067097108105098114105062091077074052093060047070079078084062060047065062060047083080065078062060047083080065078062060047083080065078062060070079078084032115105122101061050032102097099101061067097108105098114105062079080069066078101116076105097098105108105116121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3039044039095099111109095053039041034032111110109111117115101111117116061034109115111067111109109101110116072105100101040039095099111109095053039041034032105100061095099111109095053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3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3034062060070079078084032102097099101061067097108105098114105062091077074053093060047070079078084062060047065062060047083080065078062060047083080065078062060047083080065078062060070079078084032115105122101061050032102097099101061067097108105098114105062079080069066067111110116114105098117116105111110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4039044039095099111109095054039041034032111110109111117115101111117116061034109115111067111109109101110116072105100101040039095099111109095054039041034032105100061095099111109095054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4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4034062060070079078084032102097099101061067097108105098114105062091077074054093060047070079078084062060047065062060047083080065078062060047083080065078062060047083080065078062060070079078084032115105122101061050032102097099101061067097108105098114105062079080069066080108097110065099116117097114105097108076105097098105108105116105101115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5039044039095099111109095055039041034032111110109111117115101111117116061034109115111067111109109101110116072105100101040039095099111109095055039041034032105100061095099111109095055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5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5034062060070079078084032102097099101061067097108105098114105062091077074055093060047070079078084062060047065062060047083080065078062060047083080065078062060047083080065078062060070079078084032115105122101061050032102097099101061067097108105098114105062079080069066065115115117109101100073110102108097116105111110082097116101060047070079078084062060047080062060047068073086062060047068073086062060047068073086062060047068073086062</t>
  </si>
  <si>
    <t>Details of other post employment benefits [Text Block]</t>
  </si>
  <si>
    <t>11511709811510510012103210111311709710803211611103211610410103210010510210210111410111009910103209810111611910110111003211610410103209709911611709710803211410111610511410110103209911111511603204014706508206714804103209711010003211610410103209810810111010010110003211409711610104606008308006507803211511612110810106103410911511104511511209709910111411711005803212110111503406203811009811511205903206004708308006507806206610110310511011010511010303207409711011709711412103204904403205004804904804403211610410103210909712010510911710903210011110810809711403209710911111711011603211110203211610410103210112011210810509910511603210110911210811112110111403211511709811510510012103211909711503210211411112210111003210211111403210110911210811112110110111503211910411103211410111610511410103209710211610111403205004804805704603208410410111510103211410111610511410110111503211910510810803211209712103211610410103210211710810803209911111511603211110203209711012103210511009911410109711510111503210511003211610410103209810810111010010110003211211410110910511710903210511003210112009910111511503211110203211610410103210211411112210111003210909712010510911710903211511709811510510012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5110103032080111108105099121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08108032111102032116104101032097098111118101032098101110101102105116032112108097110115032097114101032112114111118105100101100032116104114111117103104032105110115117114097110099101032099111109112097110105101115032111114032104101097108116104032109097105110116101110097110099101032111114103097110105122097116105111110115032040072077079041046032083111109101032104101097108116104032112108097110032112114101109105117109115032097114101032098097115101100032111110032116104101032098101110101102105116115032112097105100032100117114105110103032116104101032112108097110032112101114105111100032101110100105110103032077097114099104032051049046032084104101032067105116121032114101099111103110105122101115032116104101032099111115116032111102032112114111118105100105110103032098101110101102105116115032098121032101120112101110115105110103032109111110116104108121032112114101109105117109115044032111110032097032112097121045097115045121111117045103111032098097115105115046060083080065078032115116121108101061034109115111045115112097099101114117110058032121101115034062038110098115112059032060047083080065078062084104101114101032097114101032110111032112108097110115032097116032116104105115032116105109101032116111032102117110100032116104101032079080069066032108105097098105108105116121032097110100032116104101114101102111114101032116104101114101032097114101032110111032060083080065078032115116121108101061034066065067075071082079085078068058032119104105116101034062112108097110032060047083080065078062097115115101116115046060083080065078032115116121108101061034109115111045115112097099101114117110058032121101115034062038110098115112059032060047083080065078062070111114032116104101032102105115099097108032121101097114032101110100101100032083101112116101109098101114032051048044032050048049055044032116104101032099111115116032111102032114101116105114101101032104101097108116104032099097114101032102111114032049044049050048032112097114116105099105112097110116115032119097115032036049051044050052049044056054053032111102032119104105099104032036052044056049049044057055052032119097115032112097105100032098121032116104101032114101116105114101101115046032084104101032067105116121032111102102060083080065078032115116121108101061034066065067075071082079085078068058032119104105116101034062101114115032118105115105111110044032100101110116097108032097110100032065068038097109112059068032112111108105099105101115032112097105100032102111114032101110116105114101108121032098121032097099116105118101032097110100032114101116105114101100032101109112108111121101101115046060047083080065078062060066032115116121108101061034109115111045098105100105045102111110116045119101105103104116058032110111114109097108034062060085062060111058112062060047111058112062060047085062060047066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0110117097108032079080069066032067111115116032097110100032079080069066032079098108105103097116105111110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14101099101105118101100032116104101032099117114114101110116032121101097114032114101115117108116115032111102032097110032097099116117097114105097108032118097108117097116105111110032114101112111114116032102111114032114101116105114101101032104101097108116104032098101110101102105116115032097115032111102032079099116111098101114032049044032050048049054032102111114032102105115099097108032121101097114032050048049055046032084104101032118097108117097116105111110032119097115032099111109112108101116101100032117110100101114032116104101032114101113117105114101109101110116115032111102032071065083066032083116097116101109101110116032052053046032084104101032100101118101108111112109101110116032111102032116104101032078101116032079080069066032079098108105103097116105111110032105115032108105115116101100032098101108111119032102111114032116104101032102105115099097108032121101097114032101110100101100032083101112116101109098101114032051048058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4065066076069032099108097115115061077115111078111114109097108084097098108101032115116121108101061034066079082068069082045084079080058032109101100105117109032110111110101059032066079082068069082045082073071072084058032109101100105117109032110111110101059032066079082068069082045067079076076065080083069058032099111108108097112115101059032066079082068069082045066079084084079077058032109101100105117109032110111110101059032077065082071073078058032097117116111032097117116111032097117116111032049046052112116059032066079082068069082045076069070084058032109101100105117109032110111110101059032109115111045116097098108101045108097121111117116045097108116058032102105120101100059032109115111045098111114100101114045098111116116111109045097108116058032115111108105100032119105110100111119116101120116032046050053112116059032109115111045112097100100105110103045097108116058032048105110032046055112116032048105110032046055112116034032099101108108083112097099105110103061048032099101108108080097100100105110103061048032098111114100101114061049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12097103105110097116105111110058032110111110101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t>
  </si>
  <si>
    <t>101115034062038110098115112059032060047083080065078062050048049055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4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3032060111058112062060047111058112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8210111311710511410110003206711111011611410509811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3044054054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4044052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t>
  </si>
  <si>
    <t>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53053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3110116101114101115116032111110032116104101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44050053053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6048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2051056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00106117115116109101110116032111110032116104101032065082067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2044052052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t>
  </si>
  <si>
    <t>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1044054048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0044056049050044048048048041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65110110117097108032079080069066032067111115116115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2044052055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60047084082062013010060084082032115116121108101061034109115111045121102116105045105114111119058032053034062013010060084068032115116121</t>
  </si>
  <si>
    <t>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6101115115058032067111110116114105098117116105111110115032109097100101032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4044048053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54052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48052049044048048048041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73110099114101097115101032105110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52050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t>
  </si>
  <si>
    <t>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48044048048054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49052048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098101103105110110105110103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6034062013010060084068032115116121108101061034066079082068069082045084079080058032035102048102048102048059032066079082068069082045082073071072084058032035102048102048102</t>
  </si>
  <si>
    <t>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101110100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6048044055053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7059032109115111045121102116105045108097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t>
  </si>
  <si>
    <t>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60047084082062060047084066079068089062060047084065066076069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39062060111058112062038110098115112059060047111058112062060047083080065078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80101114099101110116097103101032111102032065110110117097108032079080069066032067111115116032067111110116114105098117116101100032097110100032078101116032079080069066032079098108105103097116105111110060047083080065078062060047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47111058112062060047083080065078062060047080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83073090069058032049050112116059032070079078084045070065077073076089058032034084105109101115032078101119032082111109097110034044034115101114105102034059032109115111045102097114101097115116045102111110116045102097109105108121058032034084105109101115032078101119032082111109097110034059032109115111045098105100105045102111110116045115105122101058032049049046048112116039062060111058112062038110098115112059060047111058112062060047083080065078062060047080062013010060084065066076069032099108097115115061077115111078111114109097108084097098108101032115116121108101061034066079082068069082045067079076076065080083069058032099111108108097112115101059032077065082071073078058032097117116111032097117116111032097117116111032048046048053105110059032109115111045116097098108101045108097121111117116045097108116058032102105120101100059032109115111045112097100100105110103045097108116058032048105110032049046056112116032048105110032049046056112116059032109115111045098111114100101114045105110115105100101104058032046050053112116032115111108105100032098108097099107034032099101108108083112097099105110103061048032099101108108080097100100105110103061048032098111114100101114061048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0105115099097108032089101097114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79080069066032067111115116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711111011611410509811711610511111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t>
  </si>
  <si>
    <t>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8010111409910111011609710310103211110203206511011011709710803207908006906603206711111511603206711111011611410509811711610110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60066032115116121108101061034109115111045098105100105045102111110116045119101105103104116058032110111114109097108034062060111058112062060047111058112062060047066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5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2044052055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4044048053048044048048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0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t>
  </si>
  <si>
    <t>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8044055053057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4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4052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4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3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t>
  </si>
  <si>
    <t>109115111045115112097099101114117110058032121101115034062038110098115112059032060047083080065078062049051044049056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48052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6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7050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44048056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t>
  </si>
  <si>
    <t>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3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1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6054056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3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56044051052054044048048048032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t>
  </si>
  <si>
    <t>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0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48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5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5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48044055051049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9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0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t>
  </si>
  <si>
    <t>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2055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49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51044053048050044048048048032060111058112062060047111058112062060047083080065078062060047080062060047084068062060047084082062013010060084082032115116121108101061034109115111045121102116105045105114111119058032056059032109115111045121102116105045108097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3050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49056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7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t>
  </si>
  <si>
    <t>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53044055050054044048048048032060111058112062060047111058112062060047083080065078062060047080062060047084068062060047084082062060047084066079068089062060047084065066076069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1100032083116097116117115032097110100032070117110100105110103032080114111103114101115115060047083080065078062060047085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5032111102032083101112116101109098101114032051048044032050048049055060083080065078032115116121108101061034066065067075071082079085078068058032119104105116101034062044032116104101032097099116117097114105097108032097099099114117101100032108105097098105108105116121032102111114032098101110101102105116115032119097115060047083080065078062032036049057057044055056049044048048048060083080065078032115116121108101061034066065067075071082079085078068058032119104105116101034062044032097108108032111102032119104105099104032119097115032117110102117110100101100046032084104101032099111118101114101100032112097121114111108108032040097110110117097108032112097121114111108108032111102032097099116105118101032101109112108111121101101115032099111118101114101100032098121032116104101032080108097060047083080065078062110041032119097115032036049052051044049057052044049057051032097110100032116104101032114097116105111032111102032117110102117110100101100032097099116117097114105097108032097099099114117101100032108105097098105108105116121032040085065065076041032116111032099111118101114101100032112097121114111108108032105115032049051057046053037046060083080065078032115116121108101061034066065067075071082079085078068058032119104105116101034062060111058112062060047111058112062060047083080065078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60066032115116121108101061034109115111045098105100105045102111110116045119101105103104116058032110111114109097108034062060085062060083080065078032115116121108101061039070079078084045083073090069058032049049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7110115105045108097110103117097103101058032069078045085083059032109115111045102097114101097115116045108097110103117097103101058032069078045085083059032109115111045098105100105045108097110103117097103101058032065082045083065039062060066082032115116121108101061034080065071069045066082069065075045066069070079082069058032097108119097121115034032099108101097114061097108108062060047083080065078062060047085062060047066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11809710811709711610511111011503211410110210810109911603209703210811111010304511610111410903211210111411511210109911610511810103209711010003210511011811110811810103210111511610510909711610111503211110203211610410103211809710811710103211110203211410111211111411610110003209710911111711011611503209711010003209711511511710911211610511111011503209709811111711603211610410103211211411109809709810510810511612103211110203210111810111011611503210209711403210511011611103211610410103210211711611711410104403209711010003209709911611709711410509710810812103210010111610111410910511010110003209710911111711011611503209711410103211511709810610109911603211611103209911111011610511011709710803211410111810511510511111003209711503209709911611709710803211410111511710811611503209711410103209911110911209711410110003211611103211209711511603210112011210109911609711610511111011503209711010003211010111903210111511610510909711610111503209711410103210909710010103209709811111711603211610410103210211711611711410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11509910410110011710810103211110203210311111810111411010910111011603209911111011611410509811711610511111011503209711010003211611911103212110109711403211611410111010003210511010211111410909711610511111003209710811111010303211910511610403211610410103211509910410110011710810103211110203210211711010010511010303211211411110311410111511503210211111403211610410103209911711411410111011603212110109711403209711010003211611911103212110109711411503211211410511111403204011610410103210009711610111503211110203211610410103209709911611709711410509710803211809710811709711610511111011503209711503211410111311710511410110004103209909711003209810103210211111711010003210511003211610410103208210111311710511410110003208311711211210810110910111011609711412103207311010211111410909711610511111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077101116104111100115032111102032065115115117109112116105111110115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097108099117108097116105111110115032097114101032098097115101100032111110032116104101032116121112101115032111102032098101110101102105116115032112114111118105100101100032117110100101114032116104101032116101114109115032111102032116104101032115117098115116097110116105118101032112108097110044032105110099108117100105110103032116104101032109101116104111100032111102032115104097114105110103032111102032099111115116115032098101116119101101110032116104101032101109112108111121101114032097110100032112108097110032109101109098101114115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3110032116104101032079099116111098101114032049044032050048049054032097099116117097114105097108032118097108117097116105111110044032116104101032080114111106101099116101100032085110105116032067114101100105116032097099116117097114105097108032099111115116032109101116104111100032119097115032117115101100046060083080065078032115116121108101061034109115111045115112097099101114117110058032121101115034062038110098115112059032060047083080065078062084104101032097099116117097114105097108032097115115117109112116105111110115032105110099108117100101100032097032051037032105110102108097116105111110032114097116101044032052046053037032105110118101115116109101110116032114097116101032111102032114101116117114110032040110101116032111102032097100109105110105115116114097116105118101032101120112101110115101115041044032097110100032097103103114101103097116101032099111109112101110115097116105111110032105115032097115115117109101100032116111032105110099114101097115101032049046053048037032112101114032121101097114032102111114032116104101032080111108105099101032080108097110044032048046050037032112101114032121101097114032102111114032116104101032069082083047052048049097032080108097110044032097110100032048046048048037032102111114032116104101032070105114101032080108097110046060083080065078032115116121108101061034109115111045115112097099101114117110058032121101115034062038110098115112059032060047083080065078062065110110117097108032104101097108116104099097114101032099111115116032116114101110100032114097116101115032097114101032098097115101100032111110032097099116117097108032112114101109105117109032114097116101032105110099114101097115101115032102114111109032065112114105108032049044032050048049054032116111032065112114105108032049044032050048049055032097115032102111108108111119115059032052037032102111114032097108108032104101097108116104032112108097110115032112114101045054053044032051046050037032102111114032102117116117114101032114101116105114101101115032097110100032101120105115116105110103032114101116105114101101115032119104111032097114101032099117114114101110116108121032117110100101114032054053044032045046048056037032102111114032101120105115116105110103032114101116105114101101115032111118101114032054053032099117114114101110116108121032101110114111108108101100032097110100032045053046048037032102111114032101120105115116105110103032114101116105114101101115032111118101114032054053032099117114114101110116108121032101110114111108108101100046060083080065078032115116121108101061034109115111045115112097099101114117110058032121101115034062038110098115112059032060047083080065078062084104101032117110102117110100101100032097099116117097114105097108032097099099114117101100032108105097098105108105116121032105115032098101105110103032097109111114116105122101100032097115032097032108101118101108032112101114099101110116097103101032111102032112097121114111108108032111118101114032097110032111112101110032051048032121101097114032112101114105111100046032060111058112062060047111058112062060047083080065078062060047080062013010060080032099108097115115</t>
  </si>
  <si>
    <t>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60047068073086062</t>
  </si>
  <si>
    <t>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13010060068073086062060047068073086062060047068073086062</t>
  </si>
  <si>
    <t>Total Receivables</t>
  </si>
  <si>
    <t>Total Investments, at Fair Value</t>
  </si>
  <si>
    <t>LicensesAndPermits</t>
  </si>
  <si>
    <t>FederalStateOtherGrants</t>
  </si>
  <si>
    <t>BudgetAndActualGeneralFundIntergovernmentalRevenues</t>
  </si>
  <si>
    <t>BudgetAndActualGeneralFundUseOfMoneyAndProperty</t>
  </si>
  <si>
    <t>MiscellaneousAssessments</t>
  </si>
  <si>
    <t>BudgetAndActualGeneralFundMiscellaneous</t>
  </si>
  <si>
    <t>BudgetAndActualGeneralFundRevenues</t>
  </si>
  <si>
    <t>GeneralGovernmentAdministration</t>
  </si>
  <si>
    <t>CityDevelopmentAdministration</t>
  </si>
  <si>
    <t>PublicWorksAdministration</t>
  </si>
  <si>
    <t>PublicSafetyAdministration</t>
  </si>
  <si>
    <t>LeisureServicesAdministration</t>
  </si>
  <si>
    <t>NeighborhoodAffairsAdministration</t>
  </si>
  <si>
    <t>ExcessDeficiencyOfRevenuesOverExpenditures</t>
  </si>
  <si>
    <t>ExcessDeficiencyOfRevenueAndOtherFinancingSourcesOverExpendituresAndOtherFinancingUses</t>
  </si>
  <si>
    <t>BudgetaryFundBalances</t>
  </si>
  <si>
    <t>ReserveForEncumbrancesAtBeginning</t>
  </si>
  <si>
    <t>ChangeInReserveForPrepaidCostsAndInventory</t>
  </si>
  <si>
    <t>ChangeInAdvancesWithOtherFunds</t>
  </si>
  <si>
    <t>Licenses and  Permits</t>
  </si>
  <si>
    <t>Fines and  Forfeitures</t>
  </si>
  <si>
    <t>Charges for Services and User  Fees</t>
  </si>
  <si>
    <t>Charges for General  Administration</t>
  </si>
  <si>
    <t xml:space="preserve">Taxes  </t>
  </si>
  <si>
    <t>Public  Service  Tax</t>
  </si>
  <si>
    <t>State - Sales  Tax</t>
  </si>
  <si>
    <t>State - Revenue  Sharing</t>
  </si>
  <si>
    <t>State - Communication Service  Tax</t>
  </si>
  <si>
    <t>Pinellas County - Gasoline  Tax</t>
  </si>
  <si>
    <t>Earnings  on  Investments</t>
  </si>
  <si>
    <t xml:space="preserve">Rentals </t>
  </si>
  <si>
    <t xml:space="preserve">Contributions </t>
  </si>
  <si>
    <t>Dispositions of  Property</t>
  </si>
  <si>
    <t xml:space="preserve">Assessments  </t>
  </si>
  <si>
    <t xml:space="preserve">Police </t>
  </si>
  <si>
    <t>Fire and  EMS</t>
  </si>
  <si>
    <t>Total  Expenditures</t>
  </si>
  <si>
    <t>Transfers  In</t>
  </si>
  <si>
    <t>Transfers  Out</t>
  </si>
  <si>
    <t>ReserveForEncumbrances</t>
  </si>
  <si>
    <t>CurrentYearAdvancesWithOtherFunds</t>
  </si>
  <si>
    <t>ReserveForPrepaidCostsAndInventory</t>
  </si>
  <si>
    <t>NetChangeInFairValueOfInvestments</t>
  </si>
  <si>
    <t>FundBalanceAsOnSeptember30</t>
  </si>
  <si>
    <t>EarningsInInvestments</t>
  </si>
  <si>
    <t>ExcessDeficiencyOfRevenuesAndOtherFinancingSourcesOverExpendituresAndOtherFinancingUse</t>
  </si>
  <si>
    <t>BudgetAndActualMajorSpecialRevenueFundsReserveForEncumbrances</t>
  </si>
  <si>
    <t>BudgetAndActualMajorSpecialRevenueFundsCurrentYearAdvancesWithOtherFunds</t>
  </si>
  <si>
    <t>BudgetAndActualMajorSpecialRevenueFundsReserveForPrepaidCostsAndInventory</t>
  </si>
  <si>
    <t>BudgetAndActualMajorSpecialRevenueFundsNetChangeInFairValueOfInvestments</t>
  </si>
  <si>
    <t>BudgetAndActualMajorSpecialRevenueFundsFundBalanceAsOnSeptember30</t>
  </si>
  <si>
    <t>Pinellas County - Tax  Increment</t>
  </si>
  <si>
    <t>Total  Revenues</t>
  </si>
  <si>
    <t xml:space="preserve">Transfers  In </t>
  </si>
  <si>
    <t xml:space="preserve">Transfers  Out </t>
  </si>
  <si>
    <t xml:space="preserve">Transfers In </t>
  </si>
  <si>
    <t xml:space="preserve">Transfers Out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</si>
  <si>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</si>
  <si>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</si>
  <si>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</si>
  <si>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</si>
  <si>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</si>
  <si>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</si>
  <si>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</si>
  <si>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Reserve for Encumbrances  - September 30, 2017</t>
  </si>
  <si>
    <t>Current Year Advances with other  Funds</t>
  </si>
  <si>
    <t>Reserve for Prepaid Costs and  Inventory</t>
  </si>
  <si>
    <t>Net Change in Fair Value of  Investments</t>
  </si>
  <si>
    <t>Fund Balance  - September 30</t>
  </si>
  <si>
    <t>ExcessDeficiencyOfRevenueAndOtherFinancingSourcesOverExpendituresAndOtherFinancingUse</t>
  </si>
  <si>
    <t>ReserveForEncumbrance</t>
  </si>
  <si>
    <t>CurrentYearAdvancesWithOtherFund</t>
  </si>
  <si>
    <t>ReserveForPrepaidCostAndInventory</t>
  </si>
  <si>
    <t>NetChangeInFairValueOfInvestment</t>
  </si>
  <si>
    <t>FundsFundBalanceAsOnSeptember30</t>
  </si>
  <si>
    <t>Pinellas County  - Tax Increment</t>
  </si>
  <si>
    <t>Earnings  in  Investments</t>
  </si>
  <si>
    <t xml:space="preserve">Total  Revenues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</si>
  <si>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</si>
  <si>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</si>
  <si>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</si>
  <si>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</si>
  <si>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</si>
  <si>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</si>
  <si>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</si>
  <si>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Current Year Advances with  other  Funds</t>
  </si>
  <si>
    <t>Reserve for Prepaid Costs  and  Inventory</t>
  </si>
  <si>
    <t>Fund Balance -  September 30</t>
  </si>
  <si>
    <t>Net Change in  Fair Value  of  Investments</t>
  </si>
  <si>
    <t>Reserve  for  Encumbrances -  September 30, 2017</t>
  </si>
  <si>
    <t>DispositionOfProperty</t>
  </si>
  <si>
    <t>BudgetAndActualGrantsRevenues</t>
  </si>
  <si>
    <t>BudgetAndActualGrantsExpenditures</t>
  </si>
  <si>
    <t>BudgetAndActualGrantsExcessDeficiencyOfRevenuesOverExpenditures</t>
  </si>
  <si>
    <t>BudgetAndActualGrantsOtherFinancingSourcesUses</t>
  </si>
  <si>
    <t>BudgetAndActualGrantsExcessDeficiencyOfRevenuesAndOtherFinancingSourcesOverExpendituresAndOtherFinancingUses</t>
  </si>
  <si>
    <t>BudgetAndActualGrantsBudgetaryFundBalances</t>
  </si>
  <si>
    <t>BudgetAndActualGrantsReserveForEncumbrancesAtbeginning</t>
  </si>
  <si>
    <t>BudgetAndActualGrantsChangeInReserveForPrepaidCostsAndInventory</t>
  </si>
  <si>
    <t>BudgetAndActualGrantsChangeInAdvancesWithOtherFunds</t>
  </si>
  <si>
    <t>BudgetAndActualGrantsReserveForEncumbrancesAtEnding</t>
  </si>
  <si>
    <t>BudgetAndActualGrantsCurrentYearAdvancesWithOtherFunds</t>
  </si>
  <si>
    <t>BudgetAndActualGrantsReserveForPrepaidCostsAndInventory</t>
  </si>
  <si>
    <t>BudgetAndActualGrantsNetChangeInFairValueOfInvestments</t>
  </si>
  <si>
    <t>BudgetAndActualGrantsFundBalanceAsOnSeptember30</t>
  </si>
  <si>
    <t>Federal, State and Other  Grants</t>
  </si>
  <si>
    <t>Earnings in  Investments</t>
  </si>
  <si>
    <t xml:space="preserve">Rentals  </t>
  </si>
  <si>
    <t xml:space="preserve">Other </t>
  </si>
  <si>
    <t xml:space="preserve"> Total  Revenues </t>
  </si>
  <si>
    <t>Community and Economic  Development</t>
  </si>
  <si>
    <t>Public  Works</t>
  </si>
  <si>
    <t>Recreation, Culture and  Social</t>
  </si>
  <si>
    <t xml:space="preserve">Total  Expenditures </t>
  </si>
  <si>
    <t>Excess (deficiency) of  revenues  over expenditures</t>
  </si>
  <si>
    <t xml:space="preserve"> Transfers  In </t>
  </si>
  <si>
    <t xml:space="preserve"> Transfers  Out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</si>
  <si>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</si>
  <si>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</si>
  <si>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</si>
  <si>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</si>
  <si>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</si>
  <si>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</si>
  <si>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</si>
  <si>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Reserve for Encumbrances - September  30,  2017</t>
  </si>
  <si>
    <t>Current  Year  Advances with other Funds</t>
  </si>
  <si>
    <t>Reserve  for  Prepaid Costs and Inventory</t>
  </si>
  <si>
    <t>Net  Change  in Fair Value of Investments</t>
  </si>
  <si>
    <t>Fund Balance  -  September 30</t>
  </si>
  <si>
    <t>UnbilledRevenues</t>
  </si>
  <si>
    <t>NetPositionProprietaryFundsReceivables</t>
  </si>
  <si>
    <t>DueFromGovernmentalAgencies</t>
  </si>
  <si>
    <t>PrepaidExpensesAndDeposites</t>
  </si>
  <si>
    <t>CurrentAssets</t>
  </si>
  <si>
    <t>RestrictedCashAndInvestments</t>
  </si>
  <si>
    <t>RestrictedAccruedInterestReceivable</t>
  </si>
  <si>
    <t>ContractReceivableFromOtherGovernmentalAgency</t>
  </si>
  <si>
    <t>MachineryAndEquipment</t>
  </si>
  <si>
    <t>UtilitySystems</t>
  </si>
  <si>
    <t>ProjectsInProgress</t>
  </si>
  <si>
    <t>AccumulatedDepreciation</t>
  </si>
  <si>
    <t>CapitalAssets</t>
  </si>
  <si>
    <t>NetPositionProprietaryFundsNoncurrentAssets</t>
  </si>
  <si>
    <t>NetPositionProprietaryFundsAssets</t>
  </si>
  <si>
    <t>NetPositionProprietaryFundsDeferredAmountOnDebtRefunding</t>
  </si>
  <si>
    <t>DeferredOutflowsOfPensionResources</t>
  </si>
  <si>
    <t>NetPositionProprietaryFundsDeferredOutflowsOfResources</t>
  </si>
  <si>
    <t>AccruedAnnualLeave</t>
  </si>
  <si>
    <t>RetainageOnContracts</t>
  </si>
  <si>
    <t>DueToOtherFunds</t>
  </si>
  <si>
    <t>ClaimsCurrentPortion</t>
  </si>
  <si>
    <t>NotesPayableCurrentPortion</t>
  </si>
  <si>
    <t>BondsAndNotesPayableCurrentPortion</t>
  </si>
  <si>
    <t>PayableFromRestrictedAssetsAccruedInterest</t>
  </si>
  <si>
    <t>OtherCurrentliabilities</t>
  </si>
  <si>
    <t>UnearnedRevenue</t>
  </si>
  <si>
    <t>CurrentLiabilities</t>
  </si>
  <si>
    <t>AdvanceFromOtherFunds</t>
  </si>
  <si>
    <t>AccruedAnnualLeaveLessCurrentPortion</t>
  </si>
  <si>
    <t>NotesPayableState</t>
  </si>
  <si>
    <t>RevenueBondsPayable</t>
  </si>
  <si>
    <t>NetPensionLiability</t>
  </si>
  <si>
    <t>ObligationForOPEB</t>
  </si>
  <si>
    <t>UnamortizedDiscountPremium</t>
  </si>
  <si>
    <t>NotesPayable</t>
  </si>
  <si>
    <t>LongTermLiabilities</t>
  </si>
  <si>
    <t>NetPositionProprietaryFundsDeferredInflowsOfResources</t>
  </si>
  <si>
    <t>NetInvestmentInCapitalAssets</t>
  </si>
  <si>
    <t>DebtServices</t>
  </si>
  <si>
    <t>NetPositionProprietaryFundsRestricted</t>
  </si>
  <si>
    <t>NetPositionProprietaryFundsNetPosition</t>
  </si>
  <si>
    <t>BusinessTypeActivitiesEnterpriseFunds</t>
  </si>
  <si>
    <t>AdjustmentsToReflectTheConsolidationOfInternalServiceFundsActivitiesRelatedToEnterpriseFunds</t>
  </si>
  <si>
    <t>PositionBusinessTypeActivities</t>
  </si>
  <si>
    <t xml:space="preserve">Cash and Cash Equivalents </t>
  </si>
  <si>
    <t xml:space="preserve">Investments </t>
  </si>
  <si>
    <t>Accrued  Interest</t>
  </si>
  <si>
    <t xml:space="preserve">Inventories </t>
  </si>
  <si>
    <t xml:space="preserve">Land </t>
  </si>
  <si>
    <t>Machinery and  Equipment</t>
  </si>
  <si>
    <t>Utility  Systems</t>
  </si>
  <si>
    <t>Deferred Amount on Debt  Refunding</t>
  </si>
  <si>
    <t>Vouchers and Accounts  Payable</t>
  </si>
  <si>
    <t>Accrued  Salaries</t>
  </si>
  <si>
    <t>Retainage on  Contracts</t>
  </si>
  <si>
    <t>Due to Other  Funds</t>
  </si>
  <si>
    <t>Due to Other  Governmental  Agencies</t>
  </si>
  <si>
    <t xml:space="preserve">Accrued  Interest </t>
  </si>
  <si>
    <t xml:space="preserve">Deposits </t>
  </si>
  <si>
    <t>Net Pension  Liability</t>
  </si>
  <si>
    <t>Total Deferred inflows  of  Resources</t>
  </si>
  <si>
    <t>PayableFromRestrictedAssets</t>
  </si>
  <si>
    <t>SalesWater</t>
  </si>
  <si>
    <t>SalesWastewater</t>
  </si>
  <si>
    <t>SalesAndConcessions</t>
  </si>
  <si>
    <t>ServiceChargesAndFees</t>
  </si>
  <si>
    <t>RentalsAndParking</t>
  </si>
  <si>
    <t>OperatingRevenues</t>
  </si>
  <si>
    <t>PersonalServicesAndBenefits</t>
  </si>
  <si>
    <t>SuppliesServicesAndClaims</t>
  </si>
  <si>
    <t>GeneralAdministrativeCharges</t>
  </si>
  <si>
    <t>OperatingExpenses</t>
  </si>
  <si>
    <t>OperatingIncomeLoss</t>
  </si>
  <si>
    <t>IntergovernmentalRevenues</t>
  </si>
  <si>
    <t>OtherInterestRevenue</t>
  </si>
  <si>
    <t>InterestExpense</t>
  </si>
  <si>
    <t>IssueCostAndAmortizationOfBondDiscount</t>
  </si>
  <si>
    <t>GainLossOnDispositionOfCapitalAssets</t>
  </si>
  <si>
    <t>MiscellaneousRevenue</t>
  </si>
  <si>
    <t>NonoperatingRevenuesExpenses</t>
  </si>
  <si>
    <t>IncomeLossBeforeContributionsAndTransfers</t>
  </si>
  <si>
    <t>CapitalAssetsFromToOtherFunds</t>
  </si>
  <si>
    <t>ContributionsFromCitizensAndDevelopers</t>
  </si>
  <si>
    <t>CapitalContributions</t>
  </si>
  <si>
    <t>TransfersAndContributions</t>
  </si>
  <si>
    <t>NetPositionProprietaryFundChangeInNetPosition</t>
  </si>
  <si>
    <t>NetPositionProprietaryFundNetPosition</t>
  </si>
  <si>
    <t>ChangeInNetPositionFromAbove</t>
  </si>
  <si>
    <t>AdjustmentToReflectTheConsolidationOfInternalServiceFundActivitiesRelatedToEnterpriseFunds</t>
  </si>
  <si>
    <t>ChangeInNetPositionOfBusinessTypeActivities</t>
  </si>
  <si>
    <t>Fines  and  Forfeitures</t>
  </si>
  <si>
    <t>Earnings  on Investments</t>
  </si>
  <si>
    <t xml:space="preserve">Transfers In  </t>
  </si>
  <si>
    <t xml:space="preserve">Transfers Out  </t>
  </si>
  <si>
    <t>Change  in Net Position</t>
  </si>
  <si>
    <t>Net  Position - October 1</t>
  </si>
  <si>
    <t>Net  Position - September 30</t>
  </si>
  <si>
    <t>CashReceivedFromCustomersAndUsers</t>
  </si>
  <si>
    <t>CashPaymentsForInterfundServicesProvided</t>
  </si>
  <si>
    <t>CashPaymentsToVendorsForGoodsAndServices</t>
  </si>
  <si>
    <t>CashPaymentsToEmployeesForServices</t>
  </si>
  <si>
    <t>CashProvidedByUsedInOperatingActivities</t>
  </si>
  <si>
    <t>IntergovernmentalRevenue</t>
  </si>
  <si>
    <t>PaymentReceiptOnInterfundLoan</t>
  </si>
  <si>
    <t>StatementOfCashFlowsTransfersIn</t>
  </si>
  <si>
    <t>StatementOfCashFlowsTransfersOut</t>
  </si>
  <si>
    <t>CashProvidedByUsedInNonCapitalFinancingActivities</t>
  </si>
  <si>
    <t>ProceedsFromIssuanceOfDebt</t>
  </si>
  <si>
    <t>ProceedsFromSpecialAssessmentNetOfReceivableChange</t>
  </si>
  <si>
    <t>AcquisitionAndConstructionOfCapitalAssets</t>
  </si>
  <si>
    <t>ProceedsFromSaleOfPropertyPlantAndEquipment</t>
  </si>
  <si>
    <t>PrincipalReceivedOnNotesReceivable</t>
  </si>
  <si>
    <t>BondFeesAndCosts</t>
  </si>
  <si>
    <t>InterestPaidOnRevenueBondsNoteMaturitiesAndCapitalLease</t>
  </si>
  <si>
    <t>PrincipalPaidOnRevenueBondsNoteMaturitiesAndCapitalLease</t>
  </si>
  <si>
    <t>PaymentsToEscrowAgentsDebtRefunding</t>
  </si>
  <si>
    <t>CapitalAndRelatedFinancingActivitiesIntergovernmentalRevenue</t>
  </si>
  <si>
    <t>CapitalAndRelatedFinancingActivitiesDebtServiceCosts</t>
  </si>
  <si>
    <t>CashProvidedByUsedInCapitalAndRelatedFinancingActivities</t>
  </si>
  <si>
    <t>PurchaseSaleAndMaturitiesOfInvestmentsNet</t>
  </si>
  <si>
    <t>InterestReceivedOnInvestments</t>
  </si>
  <si>
    <t>CashProvidedByInvestingActivities</t>
  </si>
  <si>
    <t>IncreaseDecreaseInCash</t>
  </si>
  <si>
    <t>CashAndCashEquivalentsCashFlowStatement</t>
  </si>
  <si>
    <t>OperatingIncomeLossCashFlowStatement</t>
  </si>
  <si>
    <t>OtherNonOperatingIncomeLossNet</t>
  </si>
  <si>
    <t>AccountsReceivableDFOGNet</t>
  </si>
  <si>
    <t>PrepaidsAndOtherAssets</t>
  </si>
  <si>
    <t>AccountsPayableAndAccruedLiabilities</t>
  </si>
  <si>
    <t>AccruedSalaryCompensatedAbsencesAndOPEB</t>
  </si>
  <si>
    <t>IncreaseDecreaseInAssetsAndLiabilities</t>
  </si>
  <si>
    <t>AdjustmentsToReconcileOperatingIncomeLossToNetCashProvidedByUsedInOperatingActivities</t>
  </si>
  <si>
    <t>Net cash provided by (used in)  operating activities</t>
  </si>
  <si>
    <t>Intergovernmental  Revenue</t>
  </si>
  <si>
    <t xml:space="preserve">Depreciation </t>
  </si>
  <si>
    <t xml:space="preserve">Deposits  </t>
  </si>
  <si>
    <t>Combining Statement</t>
  </si>
  <si>
    <t>TrusteeAccounts</t>
  </si>
  <si>
    <t>InterestAndDividends</t>
  </si>
  <si>
    <t>UnsettledInvestmentSales</t>
  </si>
  <si>
    <t>DROPInvestments</t>
  </si>
  <si>
    <t>GovernmentSecurities</t>
  </si>
  <si>
    <t>CorporateBonds</t>
  </si>
  <si>
    <t>CommonAndPreferredStock</t>
  </si>
  <si>
    <t>MutualFunds</t>
  </si>
  <si>
    <t>AlternativeInvestments</t>
  </si>
  <si>
    <t>InvestmentsAtFairValue</t>
  </si>
  <si>
    <t>LiabilitiesAccounts</t>
  </si>
  <si>
    <t>UnsettledInvestmentPurchases</t>
  </si>
  <si>
    <t>DROPLiability</t>
  </si>
  <si>
    <t>NetPositionRestrictedForPensions</t>
  </si>
  <si>
    <t>PensionTrustFundsNetPosition</t>
  </si>
  <si>
    <t>Cash and  Cash Equivalents</t>
  </si>
  <si>
    <t xml:space="preserve">Accounts  </t>
  </si>
  <si>
    <t>Prepaids  and Deposits</t>
  </si>
  <si>
    <t xml:space="preserve">Total  Assets </t>
  </si>
  <si>
    <t xml:space="preserve">Accounts   </t>
  </si>
  <si>
    <t xml:space="preserve">Total  Liabilities </t>
  </si>
  <si>
    <t>Total  Net Position</t>
  </si>
  <si>
    <t>Pension Trust</t>
  </si>
  <si>
    <t>EmployerChargesToOtherFunds</t>
  </si>
  <si>
    <t>StateInsuranceFund</t>
  </si>
  <si>
    <t>Contribution</t>
  </si>
  <si>
    <t>NetIncreaseDecreaseInFairValueOfInvestments</t>
  </si>
  <si>
    <t>InterestOnInvestments</t>
  </si>
  <si>
    <t>DividendsOnStock</t>
  </si>
  <si>
    <t>InvestmentIncome</t>
  </si>
  <si>
    <t>LessInvestmentExpense</t>
  </si>
  <si>
    <t>NetInvestmentIncome</t>
  </si>
  <si>
    <t>DeferredRetirementOptionContributions</t>
  </si>
  <si>
    <t>RefundsOnContributions</t>
  </si>
  <si>
    <t>AdministrativeExpenses</t>
  </si>
  <si>
    <t>Deductions</t>
  </si>
  <si>
    <t>ChangesInNetPosition</t>
  </si>
  <si>
    <t>PensionTrustNetPosition</t>
  </si>
  <si>
    <t>Change in  Net Position</t>
  </si>
  <si>
    <t>Net  Position  - October 1</t>
  </si>
  <si>
    <t>Net  Position  - September 30</t>
  </si>
  <si>
    <t>Bonds - Unamortized Premiums/ Discounts</t>
  </si>
  <si>
    <t>LongTermObligations</t>
  </si>
  <si>
    <t>AdditionsInLongTermLiabilities</t>
  </si>
  <si>
    <t>ReductionsInLongTermLiabilities</t>
  </si>
  <si>
    <t>ChangesInLongTermLiabilities</t>
  </si>
  <si>
    <t>Due  Within  One  Year</t>
  </si>
  <si>
    <t>RevenueBondsMember</t>
  </si>
  <si>
    <t>NotesMember</t>
  </si>
  <si>
    <t>BondsUnamortizedPremiumsOrDiscountsMember</t>
  </si>
  <si>
    <t>ClaimsAndJudgmentsMember</t>
  </si>
  <si>
    <t>CompensatedAbsencesMember</t>
  </si>
  <si>
    <t>SupplementalPaymentsLiabilityMember</t>
  </si>
  <si>
    <t>ContingentLiabilityMember</t>
  </si>
  <si>
    <t>NetPensionLiabilityMember</t>
  </si>
  <si>
    <t>OPEBLiabilityMember</t>
  </si>
  <si>
    <t>GovernmentalActivitiesMember</t>
  </si>
  <si>
    <t>BusinessTypeActivitiesEnterpriseFundsMember</t>
  </si>
  <si>
    <t>BondsAndNotesPayableMember</t>
  </si>
  <si>
    <t>SubtotalBeforePensionAndOPEBLiabilitiesMember</t>
  </si>
  <si>
    <t xml:space="preserve">  Revenue  Bonds</t>
  </si>
  <si>
    <t xml:space="preserve">  Notes </t>
  </si>
  <si>
    <t xml:space="preserve">  Total  Bonds  and Notes Payable</t>
  </si>
  <si>
    <t>Bonds - Unamortized  Premiums/ Discounts</t>
  </si>
  <si>
    <t>Compensated  Absences</t>
  </si>
  <si>
    <t>Net  Pension Liability</t>
  </si>
  <si>
    <t>OPEB  Liability</t>
  </si>
  <si>
    <t>Net  Pension  Liability</t>
  </si>
  <si>
    <t xml:space="preserve">OPEB  Liability </t>
  </si>
  <si>
    <t>EmployeesRetirementSystemServiceCost</t>
  </si>
  <si>
    <t>EmployeesRetirementSystemInterest</t>
  </si>
  <si>
    <t>EmployeesRetirementSystemChangesOfBenefitTerms</t>
  </si>
  <si>
    <t>EmployeesRetirementSystemDifferencesBetweenExpectedAndActualExperience</t>
  </si>
  <si>
    <t>EmployeesRetirementSystemChangesOfAssumptions</t>
  </si>
  <si>
    <t>EmployeesRetirementSystemBenefitPaymentsIncludingRefundsOfMemberContributions</t>
  </si>
  <si>
    <t>EmployeesRetirementSystemChangeInTotalPensionLiability</t>
  </si>
  <si>
    <t>EmployeesRetirementSystempensionLiability</t>
  </si>
  <si>
    <t>EmployeesRetirementSystemContributionsEmployer</t>
  </si>
  <si>
    <t>EmployeesRetirementSystemContributionsEmployee</t>
  </si>
  <si>
    <t>EmployeesRetirementSystemContributionsState</t>
  </si>
  <si>
    <t>EmployeesRetirementSystemNetInvestmentIncome</t>
  </si>
  <si>
    <t>EmployeesRetirementSystemBenefitPaymentsIncludingRefundsOfMemberContribution</t>
  </si>
  <si>
    <t>EmployeesRetirementSystemAdministrativeExpense</t>
  </si>
  <si>
    <t>EmployeesRetirementSystemOther</t>
  </si>
  <si>
    <t>EmployeesRetirementSystemChangeInPlanFiduciaryNetPosition</t>
  </si>
  <si>
    <t>EmployeesRetirementSystemPlanFiduciaryNetPosition</t>
  </si>
  <si>
    <t>EmployeesRetirementSystemNetPensionLiabilityEnding</t>
  </si>
  <si>
    <t>EmployeesRetirementSystemPlanFiduciaryNetPositionAsAPercentageOfTheTotalPensionLiability</t>
  </si>
  <si>
    <t>EmployeeSRetirementSystemCoveredEmployeePayroll</t>
  </si>
  <si>
    <t>EmployeeSRetirementSystemNetPensionLiabilityAsAPercentageOfCoveredEmployeePayroll</t>
  </si>
  <si>
    <t>num:percentItemType</t>
  </si>
  <si>
    <t>FirefighterSRetirementSystemServiceCost</t>
  </si>
  <si>
    <t>FirefighterSRetirementSystemInterest</t>
  </si>
  <si>
    <t>FirefighterSRetirementSystemChangesOfBenefitTerms</t>
  </si>
  <si>
    <t>FirefighterSRetirementSystemDifferencesBetweenExpectedAndActualExperience</t>
  </si>
  <si>
    <t>FirefighterSRetirementSystemChangesOfAssumptions</t>
  </si>
  <si>
    <t>FirefighterSRetirementSystemBenefitPaymentsIncludingRefundsOfMemberContributions</t>
  </si>
  <si>
    <t>FirefighterSRetirementSystemChangeInTotalPensionLiability</t>
  </si>
  <si>
    <t>FirefighterSRetirementSystemPensionLiability</t>
  </si>
  <si>
    <t>FirefighterSRetirementSystemContributionsEmployer</t>
  </si>
  <si>
    <t>FirefighterSRetirementSystemContributionsEmployee</t>
  </si>
  <si>
    <t>FirefighterSRetirementSystemContributionsState</t>
  </si>
  <si>
    <t>FirefighterSRetirementSystemNetInvestmentIncome</t>
  </si>
  <si>
    <t>FirefighterSRetirementSystemBenefitPaymentsIncludingRefundsOfMemberContribution</t>
  </si>
  <si>
    <t>FirefighterSRetirementSystemAdministrativeExpense</t>
  </si>
  <si>
    <t>FirefighterSRetirementSystemOther</t>
  </si>
  <si>
    <t>FirefighterSRetirementSystemChangeInPlanFiduciaryNetPosition</t>
  </si>
  <si>
    <t>FirefighterSRetirementSystemPlanFiduciaryNetPosition</t>
  </si>
  <si>
    <t>FirefighterSRetirementSystemNetPensionAssetEnding</t>
  </si>
  <si>
    <t>FirefighterSRetirementSystemPlanFiduciaryNetPositionAsAPercentageOfTheTotalPensionAsset</t>
  </si>
  <si>
    <t>FirefighterSRetirementSystemCoveredEmployeePayroll</t>
  </si>
  <si>
    <t>FirefighterSRetirementSystemNetPensionAssetAsAPercentageOfCoveredEmployeePayroll</t>
  </si>
  <si>
    <t>Service  cost</t>
  </si>
  <si>
    <t xml:space="preserve">Interest </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</si>
  <si>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</si>
  <si>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</si>
  <si>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</si>
  <si>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</si>
  <si>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</si>
  <si>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</si>
  <si>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</si>
  <si>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Contributions  - employer</t>
  </si>
  <si>
    <t>Contributions  - employee</t>
  </si>
  <si>
    <t>Contributions  - state</t>
  </si>
  <si>
    <t>Net investment  income</t>
  </si>
  <si>
    <t>Benefit  payments,  including refunds of member contributions</t>
  </si>
  <si>
    <t>Administrative  Expense</t>
  </si>
  <si>
    <t xml:space="preserve">Other  </t>
  </si>
  <si>
    <t>Net  change in plan fiduciary net position</t>
  </si>
  <si>
    <t>Plan  fiduciary net position - beginning</t>
  </si>
  <si>
    <t>Plan  fiduciary net position - ending</t>
  </si>
  <si>
    <t>Covered  employee payroll</t>
  </si>
  <si>
    <t xml:space="preserve">RSI Police Officers Retirement </t>
  </si>
  <si>
    <t>PoliceOfficerSRetirementSystemServiceCost</t>
  </si>
  <si>
    <t>PoliceOfficerSRetirementSystemInterest</t>
  </si>
  <si>
    <t>PoliceOfficerSRetirementSystemChangesOfBenefitTerms</t>
  </si>
  <si>
    <t>PoliceOfficerSRetirementSystemDifferencesBetweenExpectedAndActualExperience</t>
  </si>
  <si>
    <t>PoliceOfficerSRetirementSystemChangesOfAssumptions</t>
  </si>
  <si>
    <t>PoliceOfficerSRetirementSystemBenefitPaymentsIncludingRefundsOfMemberContributions</t>
  </si>
  <si>
    <t>PoliceOfficerSRetirementSystemChangeInTotalPensionLiability</t>
  </si>
  <si>
    <t>PoliceOfficerSRetirementSystempensionLiability</t>
  </si>
  <si>
    <t>PoliceOfficerSRetirementSystemContributionsEmployer</t>
  </si>
  <si>
    <t>PoliceOfficerSRetirementSystemContributionsEmployee</t>
  </si>
  <si>
    <t>PoliceOfficerSRetirementSystemContributionsState</t>
  </si>
  <si>
    <t>PoliceOfficerSRetirementSystemNetInvestmentIncome</t>
  </si>
  <si>
    <t>BenefitPaymentsIncludingRefundsOfMemberContributions</t>
  </si>
  <si>
    <t>PoliceOfficerSRetirementSystemAdministrativeExpense</t>
  </si>
  <si>
    <t>PoliceOfficerSRetirementSystemOther</t>
  </si>
  <si>
    <t>PoliceOfficerSRetirementSystemChangeInPlanFiduciaryNetPosition</t>
  </si>
  <si>
    <t>PoliceOfficerSRetirementSystemPlanFiduciaryNetPosition</t>
  </si>
  <si>
    <t>PoliceOfficerSRetirementSystemNetPensionLiabilityEnding</t>
  </si>
  <si>
    <t>PoliceOfficerSRetirementSystemPlanFiduciaryNetPositionAsAPercentageOfTheTotalPensionLiability</t>
  </si>
  <si>
    <t>PoliceOfficerSRetirementSystemCoveredEmployeePayroll</t>
  </si>
  <si>
    <t>PoliceOfficerSRetirementSystemNetPensionLiabilityAsAPercentageOfCoveredEmployeePayroll</t>
  </si>
  <si>
    <t xml:space="preserve">Service cost </t>
  </si>
  <si>
    <t xml:space="preserve">Interest  </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</si>
  <si>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</si>
  <si>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</si>
  <si>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</si>
  <si>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</si>
  <si>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</si>
  <si>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</si>
  <si>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</si>
  <si>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Contributions -  employer</t>
  </si>
  <si>
    <t>Contributions -  employee</t>
  </si>
  <si>
    <t>Contributions -  state</t>
  </si>
  <si>
    <t>Net  investment  income</t>
  </si>
  <si>
    <t>Benefit payments, including  refunds of member contributions</t>
  </si>
  <si>
    <t xml:space="preserve">Administrative Expense </t>
  </si>
  <si>
    <t xml:space="preserve">Other   </t>
  </si>
  <si>
    <t>Net change in plan fiduciary  net position</t>
  </si>
  <si>
    <t>Plan fiduciary net position -  beginning</t>
  </si>
  <si>
    <t>Plan fiduciary net position -  ending</t>
  </si>
  <si>
    <t>Net pension liability -  ending</t>
  </si>
  <si>
    <t>Plan fiduciary net position as a percentage  of the total pension liability</t>
  </si>
  <si>
    <t>Covered employee  payroll</t>
  </si>
  <si>
    <t>Net pension liability as a percentage  of covered employee payroll</t>
  </si>
  <si>
    <t>Benefit payments, including  refunds  of member contributions</t>
  </si>
  <si>
    <t xml:space="preserve">Net investment income </t>
  </si>
  <si>
    <t xml:space="preserve">Other    </t>
  </si>
  <si>
    <t>EmployeeSRetirementSystemActuarialValuation</t>
  </si>
  <si>
    <t>EmployeeSRetirementSystemFiscalYearContributedToPlans</t>
  </si>
  <si>
    <t>EmployeeSRetirementSystemActuariallyDeterminedContribution</t>
  </si>
  <si>
    <t>EmployeeSRetirementSystemContributionsInRelationToTheActuariallyDeterminedContribution</t>
  </si>
  <si>
    <t>EmployeeSRetirementSystemContributionDeficiencyExcess</t>
  </si>
  <si>
    <t>EmployeeSRetirementSystemContributionAsAPercentageOfCoveredPayroll</t>
  </si>
  <si>
    <t>FirefighterSRetirementSystemActuarialValuation</t>
  </si>
  <si>
    <t>FirefighterSRetirementSystemFiscalYearContributedToPlans</t>
  </si>
  <si>
    <t>FirefighterSRetirementSystemActuariallyDeterminedContribution</t>
  </si>
  <si>
    <t>FirefighterSRetirementSystemContributionsInRelationToTheActuariallyDeterminedContribution</t>
  </si>
  <si>
    <t>FirefighterSRetirementSystemContributionDeficiencyExcess</t>
  </si>
  <si>
    <t>ContributionAsAPercentageOfCoveredPayroll</t>
  </si>
  <si>
    <t>PoliceOfficerSRetirementSystemActuarialValuation</t>
  </si>
  <si>
    <t>PoliceOfficerSRetirementSystemFiscalYearContributedToPlans</t>
  </si>
  <si>
    <t>PoliceOfficerSRetirementSystemActuariallyDeterminedContribution</t>
  </si>
  <si>
    <t>PoliceOfficerSRetirementSystemContributionsInRelationToTheActuariallyDeterminedContribution</t>
  </si>
  <si>
    <t>PoliceOfficerSRetirementSystemContributionDeficiencyExcess</t>
  </si>
  <si>
    <t>PoliceOfficerSRetirementSystemContributionAsAPercentageOfCoveredPayroll</t>
  </si>
  <si>
    <t>Actuarial  Valuation</t>
  </si>
  <si>
    <t>Fiscal  Year Contributed to Plans</t>
  </si>
  <si>
    <t>Actuarially  determined contribution</t>
  </si>
  <si>
    <t>Contributions  in relation to the actuarially determined contribution</t>
  </si>
  <si>
    <t>Contribution  deficiency (excess)</t>
  </si>
  <si>
    <t>Contribution  as a percentage of covered payroll</t>
  </si>
  <si>
    <t>Covered  employee  payroll</t>
  </si>
  <si>
    <t xml:space="preserve">Actuarial  Valuation </t>
  </si>
  <si>
    <t>Fiscal Year  Contributed to Plans</t>
  </si>
  <si>
    <t>Actuarially determined  contribution</t>
  </si>
  <si>
    <t>Contributions in  relation to the actuarially determined contribution</t>
  </si>
  <si>
    <t>Contribution deficiency  (excess)</t>
  </si>
  <si>
    <t xml:space="preserve">Covered employee  payroll </t>
  </si>
  <si>
    <t>Contribution as a  percentage of covered payroll</t>
  </si>
  <si>
    <t xml:space="preserve">Covered employee payroll </t>
  </si>
  <si>
    <t>Net Position By Component 10 Yr</t>
  </si>
  <si>
    <t>GovernmentalActivitiesNetinvestmentInCapitalAssets</t>
  </si>
  <si>
    <t>GovernmentalActivitiesRestricted</t>
  </si>
  <si>
    <t>GovernmentalActivitiesUnrestricted</t>
  </si>
  <si>
    <t>GovernmentalActivitiesNetPosition</t>
  </si>
  <si>
    <t>BusinessTypeActivitiesEnterpriseFundsNetInvestmentInCapitalAssets</t>
  </si>
  <si>
    <t>BusinessTypeActivitiesEnterpriseFundsRestricted</t>
  </si>
  <si>
    <t>BusinessTypeActivitiesEnterpriseFundsUnrestricted</t>
  </si>
  <si>
    <t>BusinessTypeActivitiesEnterpriseFundsNetPosition</t>
  </si>
  <si>
    <t>PrimaryGovernmentNetInvestmentInCapitalAssets</t>
  </si>
  <si>
    <t>PrimaryGovernmentRestricted</t>
  </si>
  <si>
    <t>PrimaryGovernmentUnrestricted</t>
  </si>
  <si>
    <t>PrimaryGovernmentPrimaryGovernmentNetPosition</t>
  </si>
  <si>
    <t xml:space="preserve">    Net  investment in capital assets </t>
  </si>
  <si>
    <t xml:space="preserve">    Restricted  </t>
  </si>
  <si>
    <t xml:space="preserve">    Unrestricted  </t>
  </si>
  <si>
    <t>Changes in Net Position 10 Yr</t>
  </si>
  <si>
    <t>ExpensesGeneralGovernment</t>
  </si>
  <si>
    <t>ExpensesCommunityAndEconomicDevelopment</t>
  </si>
  <si>
    <t>ExpensesPolice</t>
  </si>
  <si>
    <t>ExpensesFireAndEMS</t>
  </si>
  <si>
    <t>ExpensesPublicWorksStreetsAndFacilities</t>
  </si>
  <si>
    <t>ExpensesRecreationCultureAndSocial</t>
  </si>
  <si>
    <t>ExpensesInterestOnLongTermDebt</t>
  </si>
  <si>
    <t>ExpensesGovernmentalActivitiesExpenses</t>
  </si>
  <si>
    <t>ExpensesWaterAndWasteWaterUtility</t>
  </si>
  <si>
    <t>ExpensesStormwaterUtility</t>
  </si>
  <si>
    <t>ExpensesSanitation</t>
  </si>
  <si>
    <t>ExpensesTropicanaField</t>
  </si>
  <si>
    <t>ExpensesAirport</t>
  </si>
  <si>
    <t>ExpensesPort</t>
  </si>
  <si>
    <t>ExpensesMarina</t>
  </si>
  <si>
    <t>ExpensesGolfCourses</t>
  </si>
  <si>
    <t>ExpensesJamestownComplex</t>
  </si>
  <si>
    <t>ExpensesParking</t>
  </si>
  <si>
    <t>ExpensesMahaffey</t>
  </si>
  <si>
    <t>ExpensesPier</t>
  </si>
  <si>
    <t>ExpensesColiseum</t>
  </si>
  <si>
    <t>ExpensesSunkenGardens</t>
  </si>
  <si>
    <t>ExpensesBusinessTypeActivitiesEnterpriseFunds</t>
  </si>
  <si>
    <t>PrimaryGovernmentExpenses</t>
  </si>
  <si>
    <t>RevenuesGeneralGovernment</t>
  </si>
  <si>
    <t>RevenuesCommunityAndEconomicDevelopment</t>
  </si>
  <si>
    <t>RevenuesPolice</t>
  </si>
  <si>
    <t>RevenuesFireAndEMS</t>
  </si>
  <si>
    <t>RevenuesPublicWorks</t>
  </si>
  <si>
    <t>RevenuesRecreationAndCulture</t>
  </si>
  <si>
    <t>RevenuesOperatingGrantsAndContributions</t>
  </si>
  <si>
    <t>RevenuesCapitalGrantsAndContributions</t>
  </si>
  <si>
    <t>GovernmentalActivitiesProgramRevenues</t>
  </si>
  <si>
    <t>RevenuesWaterAndWasteWaterUtility</t>
  </si>
  <si>
    <t>RevenuesStormwaterUtility</t>
  </si>
  <si>
    <t>RevenuesSanitation</t>
  </si>
  <si>
    <t>RevenuesTropicanaField</t>
  </si>
  <si>
    <t>RevenuesAirport</t>
  </si>
  <si>
    <t>RevenuesPort</t>
  </si>
  <si>
    <t>RevenuesMarina</t>
  </si>
  <si>
    <t>RevenuesGolfCourses</t>
  </si>
  <si>
    <t>RevenuesJamestownComplex</t>
  </si>
  <si>
    <t>RevenuesParking</t>
  </si>
  <si>
    <t>RevenuesMahaffey</t>
  </si>
  <si>
    <t>RevenuesPier</t>
  </si>
  <si>
    <t>RevenuesColiseum</t>
  </si>
  <si>
    <t>RevenuesSunkenGardens</t>
  </si>
  <si>
    <t>RevenuesOperatingGrantsAndContribution</t>
  </si>
  <si>
    <t>RevenuesCapitalGrantsAndContribution</t>
  </si>
  <si>
    <t>BusinessTypeActivitiesEnterpriseFundsRevenues</t>
  </si>
  <si>
    <t>PrimaryGovernmentProgramRevenues</t>
  </si>
  <si>
    <t>GovernmentActivities</t>
  </si>
  <si>
    <t>BusinessTypeActivitiesEnterpriseFund</t>
  </si>
  <si>
    <t>PrimaryGovernmentProgramRevenue</t>
  </si>
  <si>
    <t xml:space="preserve">General Government </t>
  </si>
  <si>
    <t xml:space="preserve">Recreation, Culture and Social </t>
  </si>
  <si>
    <t>Community and  Economic  Development</t>
  </si>
  <si>
    <t xml:space="preserve">Police  </t>
  </si>
  <si>
    <t>Fire  and EMS</t>
  </si>
  <si>
    <t>Total Governmental Activities Expenses</t>
  </si>
  <si>
    <t>Total Business-type Activities</t>
  </si>
  <si>
    <t>Total Primary Government Expenses</t>
  </si>
  <si>
    <t>Recreation and Culture</t>
  </si>
  <si>
    <t>Total Governmental Activities Program Revenues</t>
  </si>
  <si>
    <t>Total Business-type Activities Program Revenues</t>
  </si>
  <si>
    <t>Total Primary Government Program Revenues</t>
  </si>
  <si>
    <t>Net (Expense) Revenue</t>
  </si>
  <si>
    <t>Government Activities</t>
  </si>
  <si>
    <t>Business-type Activities</t>
  </si>
  <si>
    <t>Water  and Waste Water Utility</t>
  </si>
  <si>
    <t>Stormwater  Utility</t>
  </si>
  <si>
    <t xml:space="preserve">Sanitation </t>
  </si>
  <si>
    <t>Tropicana  Field</t>
  </si>
  <si>
    <t xml:space="preserve">Airport </t>
  </si>
  <si>
    <t xml:space="preserve">Port </t>
  </si>
  <si>
    <t xml:space="preserve">Marina </t>
  </si>
  <si>
    <t>Golf  Courses</t>
  </si>
  <si>
    <t>Jamestown  Complex</t>
  </si>
  <si>
    <t xml:space="preserve">Parking </t>
  </si>
  <si>
    <t xml:space="preserve">Mahaffey </t>
  </si>
  <si>
    <t xml:space="preserve">Pier </t>
  </si>
  <si>
    <t xml:space="preserve">Coliseum </t>
  </si>
  <si>
    <t>Sunken  Gardens</t>
  </si>
  <si>
    <t>General  Government</t>
  </si>
  <si>
    <t>Community  and Economic Development</t>
  </si>
  <si>
    <t xml:space="preserve">Police   </t>
  </si>
  <si>
    <t>Fire  and  EMS</t>
  </si>
  <si>
    <t xml:space="preserve">Public Works </t>
  </si>
  <si>
    <t>Operating  Grants and Contributions</t>
  </si>
  <si>
    <t>Capital  Grants and Contributions</t>
  </si>
  <si>
    <t>Operating Grants  and Contributions</t>
  </si>
  <si>
    <t>Capital Grants  and Contributions</t>
  </si>
  <si>
    <t>Total Primary Government Program  Revenues</t>
  </si>
  <si>
    <t>Reserved</t>
  </si>
  <si>
    <t>Unreserved</t>
  </si>
  <si>
    <t>Total Governmental Activities Fund Balance</t>
  </si>
  <si>
    <t>All Other Governmental Funds</t>
  </si>
  <si>
    <t>Reserved, Reported In:</t>
  </si>
  <si>
    <t>Debt Service Funds</t>
  </si>
  <si>
    <t>Unreserved, Reported In:</t>
  </si>
  <si>
    <t>Special Revenue Funds</t>
  </si>
  <si>
    <t>Capital Projects Funds</t>
  </si>
  <si>
    <t>Total of All Other Governmental Funds</t>
  </si>
  <si>
    <t>Fund Balances, Gov Funds 10 Yr</t>
  </si>
  <si>
    <t>GovernmentalActivitiesFundBalanceNonSpendable</t>
  </si>
  <si>
    <t>GovernmentalActivitiesFundBalanceCommitted</t>
  </si>
  <si>
    <t>GovernmentalActivitiesFundBalanceAssigned</t>
  </si>
  <si>
    <t>GovernmentalActivitiesFundBalanceUnassigned</t>
  </si>
  <si>
    <t>GovernmentalActivitiesFundBalanceReserved</t>
  </si>
  <si>
    <t>GovernmentalActivitiesFundBalanceUnreserved</t>
  </si>
  <si>
    <t>GovernmentalActivitiesFundBalance</t>
  </si>
  <si>
    <t>OtherGovernmentalFundsNonSpendable</t>
  </si>
  <si>
    <t>OtherGovernmentalFundsRestricted</t>
  </si>
  <si>
    <t>OtherGovernmentalFundsCommitted</t>
  </si>
  <si>
    <t>OtherGovernmentalFundsAssigned</t>
  </si>
  <si>
    <t>OtherGovernmentalFundsUnassigned</t>
  </si>
  <si>
    <t>AllOtherGovernmentalFund</t>
  </si>
  <si>
    <t>DebtServiceFunds</t>
  </si>
  <si>
    <t>ReservedReportedIn</t>
  </si>
  <si>
    <t>SpecialRevenueFunds</t>
  </si>
  <si>
    <t>CapitalProjectsFunds</t>
  </si>
  <si>
    <t>UnreservedReportedIn</t>
  </si>
  <si>
    <t>AllOtherGovernmentalFunds</t>
  </si>
  <si>
    <t>Non -Spendable</t>
  </si>
  <si>
    <t xml:space="preserve">Committed </t>
  </si>
  <si>
    <t xml:space="preserve">Assigned </t>
  </si>
  <si>
    <t xml:space="preserve">Unassigned </t>
  </si>
  <si>
    <t>Non - Spendable</t>
  </si>
  <si>
    <t xml:space="preserve">Restricted </t>
  </si>
  <si>
    <t xml:space="preserve">Committed  </t>
  </si>
  <si>
    <t xml:space="preserve">Assigned  </t>
  </si>
  <si>
    <t xml:space="preserve">Unassigned  </t>
  </si>
  <si>
    <t xml:space="preserve">Changes in Fund Balances 10Yr </t>
  </si>
  <si>
    <t>Public Service Tax (6)</t>
  </si>
  <si>
    <t>State - Communication Services Tax</t>
  </si>
  <si>
    <t>State - Housing Improvement Program</t>
  </si>
  <si>
    <t>State - Other (1)</t>
  </si>
  <si>
    <t>Pinellas County - Tourist Development</t>
  </si>
  <si>
    <t>Other Interest Revenue (2)</t>
  </si>
  <si>
    <t>Securities Lending</t>
  </si>
  <si>
    <t>Securities Lending Unrealized Loss</t>
  </si>
  <si>
    <t>Interest on Assessments</t>
  </si>
  <si>
    <t>Other (3)</t>
  </si>
  <si>
    <t>Agent Fees</t>
  </si>
  <si>
    <t>Total Securities Lending</t>
  </si>
  <si>
    <t>Principal Payments (5)</t>
  </si>
  <si>
    <t>Interest Payments (5)</t>
  </si>
  <si>
    <t>Remarketing and Other Fees</t>
  </si>
  <si>
    <t>Bond Costs</t>
  </si>
  <si>
    <t>Capital Outlay (4)</t>
  </si>
  <si>
    <t>Loan Proceeds</t>
  </si>
  <si>
    <t>Issuance of Debt</t>
  </si>
  <si>
    <t>Premium</t>
  </si>
  <si>
    <t>Net Change In Fund Balance</t>
  </si>
  <si>
    <t>Debt Services as % of Non-capital Expenditures (4)</t>
  </si>
  <si>
    <t>ChangesInFundBalancesRevenuesTaxes</t>
  </si>
  <si>
    <t>ChangesInFundBalancesRevenuesPublicServiceTax</t>
  </si>
  <si>
    <t>ChangesInFundBalancesRevenuesLicensesAndPermits</t>
  </si>
  <si>
    <t>ChangesInFundBalancesRevenuesFinesAndForfeitures</t>
  </si>
  <si>
    <t>ChangesInFundBalancesRevenuesChargesForServicesAndUserFees</t>
  </si>
  <si>
    <t>ChangesInFundBalancesRevenuesChargesForGeneralAdministration</t>
  </si>
  <si>
    <t>ChangesInFundBalancesRevenuesFederalStateAndOtherGrants</t>
  </si>
  <si>
    <t>ChangesInFundBalancesRevenuesStateSalesTax</t>
  </si>
  <si>
    <t>ChangesInFundBalancesRevenuesStateRevenueSharing</t>
  </si>
  <si>
    <t>ChangesInFundBalancesRevenuesStateCommunicationServicesTax</t>
  </si>
  <si>
    <t>ChangesInFundBalancesRevenuesStateHousingImprovementProgram</t>
  </si>
  <si>
    <t>ChangesInFundBalancesRevenuesStateOther</t>
  </si>
  <si>
    <t>ChangesInFundBalancesRevenuesPinellasCountyGasOlineTax</t>
  </si>
  <si>
    <t>ChangesInFundBalancesRevenuesPinellasCountySalesTax</t>
  </si>
  <si>
    <t>ChangesInFundBalancesRevenuesPinellasCountyTouristDevelopment</t>
  </si>
  <si>
    <t>ChangesInFundBalancesRevenuesPinellasCountyTaxIncrement</t>
  </si>
  <si>
    <t>ChangesInFundBalancesRevenuesPinellasCountyPedestrianImprovementProgram</t>
  </si>
  <si>
    <t>ChangesInFundBalancesRevenuesPinellasCountyOther</t>
  </si>
  <si>
    <t>ChangesInFundBalancesRevenuesIntergovernmentalRevenue</t>
  </si>
  <si>
    <t>ChangesInFundBalancesRevenuesEarningsonInvestments</t>
  </si>
  <si>
    <t>ChangesInFundBalancesRevenuesOtherInterestRevenue</t>
  </si>
  <si>
    <t>ChangesInFundBalancesRevenuesSecuritiesLending</t>
  </si>
  <si>
    <t>ChangesInFundBalancesRevenuesSecuritiesLendingUnrealizedLoss</t>
  </si>
  <si>
    <t>ChangesInFundBalancesRevenuesInterestOnAssessments</t>
  </si>
  <si>
    <t>ChangesInFundBalancesRevenuesRentals</t>
  </si>
  <si>
    <t>ChangesInFundBalancesRevenuesUseOfMoneyAndProperty</t>
  </si>
  <si>
    <t>ChangesInFundBalancesRevenuesContributions</t>
  </si>
  <si>
    <t>ChangesInFundBalancesRevenuesAssessments</t>
  </si>
  <si>
    <t>ChangesInFundBalancesRevenuesDispositionsOfProperty</t>
  </si>
  <si>
    <t>ChangesInFundBalancesRevenuesSettlementRevenues</t>
  </si>
  <si>
    <t>ChangesInFundBalancesRevenuesOther</t>
  </si>
  <si>
    <t>ChangesInFundBalancesRevenuesMiscellaneous</t>
  </si>
  <si>
    <t>CurrentOperationsExpendituresGeneralGovernment</t>
  </si>
  <si>
    <t>CurrentOperationsExpendituresCommunityAndEconomicDevelopment</t>
  </si>
  <si>
    <t>CurrentOperationsExpendituresPublicWorks</t>
  </si>
  <si>
    <t>CurrentOperationsExpendituresPolice</t>
  </si>
  <si>
    <t>CurrentOperationsExpendituresFireAndEMS</t>
  </si>
  <si>
    <t>CurrentOperationsExpendituresPublicSafety</t>
  </si>
  <si>
    <t>CurrentOperationsExpendituresRecreationCultureAndSocial</t>
  </si>
  <si>
    <t>AgentFees</t>
  </si>
  <si>
    <t>SecuritiesLending</t>
  </si>
  <si>
    <t>CurrentOperationsExpendituresPrincipalPayments</t>
  </si>
  <si>
    <t>CurrentOperationsExpendituresInterestPayments</t>
  </si>
  <si>
    <t>CurrentOperationsExpendituresRemarketingAndOtherFees</t>
  </si>
  <si>
    <t>CurrentOperationsExpendituresBondCosts</t>
  </si>
  <si>
    <t>CurrentOperationsExpendituresDebtService</t>
  </si>
  <si>
    <t>CurrentOperationsExpendituresCapitalOutlay</t>
  </si>
  <si>
    <t>CurrentOperationsExpenditures</t>
  </si>
  <si>
    <t>ExcessDeficiencyOfRevenuesOverExpenditure</t>
  </si>
  <si>
    <t>ChangesInFundBalancesTransfersIn</t>
  </si>
  <si>
    <t>ChangesInFundBalancesTransfersOut</t>
  </si>
  <si>
    <t>ChangesInFundBalancesLoanProceeds</t>
  </si>
  <si>
    <t>ChangesInFundBalancesIssuanceOfDebt</t>
  </si>
  <si>
    <t>ChangesInFundBalancesPremium</t>
  </si>
  <si>
    <t>ChangesInFundBalancesOtherFinancingSourcesUses</t>
  </si>
  <si>
    <t>NetChangeInFundBalance</t>
  </si>
  <si>
    <t>DebtServicesAsPercentageOfNoncapitalExpenditures</t>
  </si>
  <si>
    <t xml:space="preserve">Taxes   </t>
  </si>
  <si>
    <t>Licenses  and Permits</t>
  </si>
  <si>
    <t>Fines  and Forfeitures</t>
  </si>
  <si>
    <t>Charges  for Services and User Fees</t>
  </si>
  <si>
    <t>Charges  for General Administration</t>
  </si>
  <si>
    <t>Federal, State  and Other Grants</t>
  </si>
  <si>
    <t>State -  Sales Tax</t>
  </si>
  <si>
    <t>State -  Revenue Sharing</t>
  </si>
  <si>
    <t>Pinellas County -  Gasoline Tax</t>
  </si>
  <si>
    <t>Pinellas County -  Sales Tax</t>
  </si>
  <si>
    <t>Pinellas County -  Pedestrian Improvement Program</t>
  </si>
  <si>
    <t>Pinellas County -  Tax Increment</t>
  </si>
  <si>
    <t>Pinellas County -  Other</t>
  </si>
  <si>
    <t>Total  Intergovernmental Revenue</t>
  </si>
  <si>
    <t xml:space="preserve">Earnings  on  Investments </t>
  </si>
  <si>
    <t xml:space="preserve">Rentals   </t>
  </si>
  <si>
    <t>Total  Use of Money and Property</t>
  </si>
  <si>
    <t xml:space="preserve">Contributions  </t>
  </si>
  <si>
    <t xml:space="preserve">Assessments   </t>
  </si>
  <si>
    <t>Dispositions  of Property</t>
  </si>
  <si>
    <t>Settlement  Revenues</t>
  </si>
  <si>
    <t>Total  Miscellaneous</t>
  </si>
  <si>
    <t xml:space="preserve">Total  Revenues  </t>
  </si>
  <si>
    <t xml:space="preserve">General  Government </t>
  </si>
  <si>
    <t>Community and  Economic Development</t>
  </si>
  <si>
    <t xml:space="preserve">Public  Works </t>
  </si>
  <si>
    <t xml:space="preserve">Police    </t>
  </si>
  <si>
    <t xml:space="preserve">Fire and EMS  </t>
  </si>
  <si>
    <t>Recreation, Culture  and Social</t>
  </si>
  <si>
    <t xml:space="preserve">Interest   </t>
  </si>
  <si>
    <t xml:space="preserve">Total Debt Service </t>
  </si>
  <si>
    <t xml:space="preserve">Total Expenditures </t>
  </si>
  <si>
    <t>Excess (Deficiency)  Of  Revenues Over Expenditures</t>
  </si>
  <si>
    <t xml:space="preserve">Transfers  In  </t>
  </si>
  <si>
    <t xml:space="preserve">Transfers  Out  </t>
  </si>
  <si>
    <t>Total  Other  Financing  Sources  (Uses)</t>
  </si>
  <si>
    <t>Ratio of Outstanding Debt 10Yr</t>
  </si>
  <si>
    <t>GeneralNonAdValoremNotes</t>
  </si>
  <si>
    <t>PublicImprovementRevenueBonds</t>
  </si>
  <si>
    <t>UtilityTaxRevenueBonds</t>
  </si>
  <si>
    <t>ProSportsFacilityRevenueBonds</t>
  </si>
  <si>
    <t>ExciseTaxRevenueBonds</t>
  </si>
  <si>
    <t>GovernmentalActivitiesPublicUtilityRevenueBondsAndNotes</t>
  </si>
  <si>
    <t>CapitalImprovementRevenueBonds</t>
  </si>
  <si>
    <t>GovernmentalActivitiesUnamortizedPremiumsAndDiscounts</t>
  </si>
  <si>
    <t>BusinessTypeActivitiesEnterpriseFundsPublicUtilityRevenueBondsAndNotes</t>
  </si>
  <si>
    <t>SanitationRevenueNote</t>
  </si>
  <si>
    <t>AirportRevenueBondsAndNotes</t>
  </si>
  <si>
    <t>GolfCourserevenueBondsAndCapitalizedlease</t>
  </si>
  <si>
    <t>MarinaRevenueNotes</t>
  </si>
  <si>
    <t>BusinessTypeActivitiesEnterpriseFundsUnamortizedPremiumsAndDiscounts</t>
  </si>
  <si>
    <t>PrimaryGovernment</t>
  </si>
  <si>
    <t>PercentageOfTotalTaxableAssessedValue</t>
  </si>
  <si>
    <t>PerCapita</t>
  </si>
  <si>
    <t>PropertyTaxesValue</t>
  </si>
  <si>
    <t>PermanentPopulation</t>
  </si>
  <si>
    <t>PersonalIncome</t>
  </si>
  <si>
    <t>DebtPerIncome</t>
  </si>
  <si>
    <t>Percentage of Total Taxable Assessed Value (1)</t>
  </si>
  <si>
    <t>Per Capita</t>
  </si>
  <si>
    <t>Property Tax Value (2)</t>
  </si>
  <si>
    <t>Permanent Population (3)</t>
  </si>
  <si>
    <t>Personal Income (3)</t>
  </si>
  <si>
    <t>Debt Per Income (4)</t>
  </si>
  <si>
    <t>Public Utility Revenue Bonds and Notes</t>
  </si>
  <si>
    <t>Sanitation Revenue Note</t>
  </si>
  <si>
    <t>Airport Revenue Bonds and Notes</t>
  </si>
  <si>
    <t>Golf CourseRevenue Bonds and CapitalizedLease</t>
  </si>
  <si>
    <t>Total Primary Government</t>
  </si>
  <si>
    <t>Public Improvement Revenue Bonds</t>
  </si>
  <si>
    <t>Utility Tax Revenue Bonds</t>
  </si>
  <si>
    <t>Pro Sports Facility Revenue Bonds</t>
  </si>
  <si>
    <t>Excise Tax Revenue Bonds</t>
  </si>
  <si>
    <t>Capital Improvement Revenue Bonds</t>
  </si>
  <si>
    <t>Public Utility Revenue  Bonds and Notes</t>
  </si>
  <si>
    <t>Unamortized  Premiums and Discounts</t>
  </si>
  <si>
    <t>GeneralObligationBonds</t>
  </si>
  <si>
    <t>RestrictedToRepayPrincipal</t>
  </si>
  <si>
    <t>NetGeneralObligationBonds</t>
  </si>
  <si>
    <t>PercentageOfTotalTaxablePropertyValue</t>
  </si>
  <si>
    <t>PropertyTaxValue</t>
  </si>
  <si>
    <t>General Obligation Bonds</t>
  </si>
  <si>
    <t>Restricted to repay principal (1)</t>
  </si>
  <si>
    <t>Net General Obligation Bonds</t>
  </si>
  <si>
    <t>Percentage of Total Taxable Property Value</t>
  </si>
  <si>
    <t>Property Tax Value  (2)</t>
  </si>
  <si>
    <t>DebtOutstanding</t>
  </si>
  <si>
    <t>EstimatedPercentageApplicable</t>
  </si>
  <si>
    <t>EstimatedShareOfOverlappingDebt</t>
  </si>
  <si>
    <t>SubtotalOverlappingDebt</t>
  </si>
  <si>
    <t>CityDirectDebt</t>
  </si>
  <si>
    <t>DirectAndOverlappingDebt</t>
  </si>
  <si>
    <t>Legal Debt Margin 10Yr</t>
  </si>
  <si>
    <t>TaxableAssessedValueJanuary12016</t>
  </si>
  <si>
    <t>DebtLimitPercentageOfTaxableAssessedValue</t>
  </si>
  <si>
    <t>LegalLimitationForTheIssuanceOfGeneralObligationBonds</t>
  </si>
  <si>
    <t>AmountOfDebtApplicableToDebtLimit</t>
  </si>
  <si>
    <t>LegalDebtMargin</t>
  </si>
  <si>
    <t>DebtLimit</t>
  </si>
  <si>
    <t>TotalNetDebtApplicableToLimit</t>
  </si>
  <si>
    <t>LegalDebtMarginInformationLastTenFiscalYearsLegalDebtMargin</t>
  </si>
  <si>
    <t>NetDebtApplicableToTheLimitAsAPercentageOfDebtLimit</t>
  </si>
  <si>
    <t>Debt Outstanding  (1)</t>
  </si>
  <si>
    <t>Estimated Share of Overlapping Debt</t>
  </si>
  <si>
    <t>Subtotal, Overlapping Debt</t>
  </si>
  <si>
    <t>City Direct Debt  (3)</t>
  </si>
  <si>
    <t>Total Direct and Overlapping Debt</t>
  </si>
  <si>
    <t>Pledged-Revenue Coverage 5Yr</t>
  </si>
  <si>
    <t>ProfessionalSportsFacilitySalesTaxBondsSeries2003Revenue</t>
  </si>
  <si>
    <t>ProfessionalSportsFacilitySalesTaxBondsSeries2003DebtServicePrincipal</t>
  </si>
  <si>
    <t>ProfessionalSportsFacilitySalesTaxBondsSeries2003DebtServiceInterest</t>
  </si>
  <si>
    <t>ProfessionalSportsFacilitySalesTaxBondsSeries2003Coverage</t>
  </si>
  <si>
    <t>ProfessionalSportFacilitySalesTaxBondsSeries2014Revenue</t>
  </si>
  <si>
    <t>ProfessionalSportFacilitySalesTaxBondsSeries2014DebtServicePrincipal</t>
  </si>
  <si>
    <t>ProfessionalSportFacilitySalesTaxBondsSeries2014DebtServiceInterest</t>
  </si>
  <si>
    <t>ProfessionalSportFacilitySalesTaxBondsSeries2014Coverage</t>
  </si>
  <si>
    <t>ExciseTaxRevenueBonds24Revenue</t>
  </si>
  <si>
    <t>ExciseTaxRevenueBonds24DebtServicePrincipal</t>
  </si>
  <si>
    <t>ExciseTaxRevenueBonds24DebtServiceInterest</t>
  </si>
  <si>
    <t>ExciseTaxRevenueBonds24Coverage</t>
  </si>
  <si>
    <t>PublicServiceTaxRevenueBondsSeries2016AAnd2016BRevenue</t>
  </si>
  <si>
    <t>PublicServiceTaxRevenueBondsSeries2016AAnd2016BDebtServicePrincipal</t>
  </si>
  <si>
    <t>PublicServiceTaxRevenueBondsSeries2016AAnd2016BDebtServiceInterest</t>
  </si>
  <si>
    <t>PublicServiceTaxRevenueBondsSeries2016AAnd2016BCoverage</t>
  </si>
  <si>
    <t>WaterResourcesAndStormwaterRevenueBondsAndNotesGrossRevenue</t>
  </si>
  <si>
    <t>WaterResourcesAndStormwaterRevenueBondsAndNotesLessOperatingExpenses</t>
  </si>
  <si>
    <t>WaterResourcesAndStormwaterRevenueBondsAndNotesNetAvailableRevenue</t>
  </si>
  <si>
    <t>WaterResourcesAndStormwaterRevenueBondsAndNotesDebtServicePrincipal</t>
  </si>
  <si>
    <t>WaterResourcesAndStormwaterRevenueBondsAndNotesDebtServiceInterest</t>
  </si>
  <si>
    <t>WaterResourcesAndStormwaterRevenueBondsAndNotesCoverage</t>
  </si>
  <si>
    <t xml:space="preserve">Revenue </t>
  </si>
  <si>
    <t xml:space="preserve">Principal </t>
  </si>
  <si>
    <t xml:space="preserve">Coverage </t>
  </si>
  <si>
    <t xml:space="preserve">Revenue  </t>
  </si>
  <si>
    <t xml:space="preserve">Principal  </t>
  </si>
  <si>
    <t xml:space="preserve">Coverage  </t>
  </si>
  <si>
    <t xml:space="preserve">Revenue   </t>
  </si>
  <si>
    <t xml:space="preserve">Principal   </t>
  </si>
  <si>
    <t xml:space="preserve">Interest    </t>
  </si>
  <si>
    <t xml:space="preserve">Coverage   </t>
  </si>
  <si>
    <t xml:space="preserve">Principal     </t>
  </si>
  <si>
    <t xml:space="preserve">Interest      </t>
  </si>
  <si>
    <t xml:space="preserve">Coverage    </t>
  </si>
  <si>
    <t xml:space="preserve"> Interest</t>
  </si>
  <si>
    <t xml:space="preserve"> Interest </t>
  </si>
  <si>
    <t xml:space="preserve"> Interest  </t>
  </si>
  <si>
    <t>RevenueBondMember</t>
  </si>
  <si>
    <t>SubtotalBeforePensionAndOPEBLiabilityMember</t>
  </si>
  <si>
    <t>BondsAndNotePayableMember</t>
  </si>
  <si>
    <t>BusinessTypeActivitiesEnterpriseFundsOPEBLiabilityMember</t>
  </si>
  <si>
    <t>BusinessTypeActivitiesEnterpriseFundsNetPensionLiabilityMember</t>
  </si>
  <si>
    <t>BondsUnamortizedPremiumsOrDiscountMember</t>
  </si>
  <si>
    <t>BusinessTypeActivitiesEnterpriseFundsNotesMember</t>
  </si>
  <si>
    <t>BusinessTypeActivitiesEnterpriseFundsCompensatedAbsencesMember</t>
  </si>
  <si>
    <t>CommunityRedevelopmentDistrictsPinellasCountyTaxIncrement</t>
  </si>
  <si>
    <t>CommunityRedevelopmentDistrictsEarningsInInvestments</t>
  </si>
  <si>
    <t>CommunityRedevelopmentDistrictsRevenues</t>
  </si>
  <si>
    <t>CommunityRedevelopmentDistrictsTransfersIn</t>
  </si>
  <si>
    <t>CommunityRedevelopmentDistrictsTransfersOut</t>
  </si>
  <si>
    <t>CommunityRedevelopmentDistrictsOtherFinancingSourcesUses</t>
  </si>
  <si>
    <t>BudgetAndActualGeneralFundOtherFinancingSourcesUses</t>
  </si>
  <si>
    <t>BudgetAndActualGeneralFundExpenditures</t>
  </si>
  <si>
    <t>GovernmentalFundsCurrentOperations</t>
  </si>
  <si>
    <t>GovernmentalFundsRevenues</t>
  </si>
  <si>
    <t>BudgetAndActualRevenueFundOtherFinancingSourcesUses</t>
  </si>
  <si>
    <t>Deposit</t>
  </si>
  <si>
    <t>Bonds and Notes Payable</t>
  </si>
  <si>
    <t>Total Bonds and Notes Payable</t>
  </si>
  <si>
    <t>NotesUnamortizedPremiumsOrDiscountsMember</t>
  </si>
  <si>
    <t>Employees Retirement System</t>
  </si>
  <si>
    <t>OPEB contribution</t>
  </si>
  <si>
    <t>Statement of Details of tax abatements</t>
  </si>
  <si>
    <t>Name of tax abatement</t>
  </si>
  <si>
    <t>Tax abatement amount</t>
  </si>
  <si>
    <t>Description of tax abatement</t>
  </si>
  <si>
    <t>060068073086032105100061084069088084066076079067075032099111110116101110116069100105116097098108101061116114117101032115116121108101061034072069073071072084058032049048048037059032087073068084072058032049048048037034062013010060068073086062100115103115060047068073086062060047068073086062</t>
  </si>
  <si>
    <t>df</t>
  </si>
  <si>
    <t>OPEB</t>
  </si>
  <si>
    <t>Stmt of dtl of Tax Abatements</t>
  </si>
  <si>
    <t>NameOfTaxAbatement</t>
  </si>
  <si>
    <t>TaxAbatementAmount</t>
  </si>
  <si>
    <t>DescriptionOfTaxAbatementTextBlock</t>
  </si>
  <si>
    <t>nonnum:textBlockItemType</t>
  </si>
  <si>
    <t>PensionPlanName</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</si>
  <si>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</si>
  <si>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</si>
  <si>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</si>
  <si>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</si>
  <si>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</si>
  <si>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</si>
  <si>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</si>
  <si>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</si>
  <si>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</si>
  <si>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</si>
  <si>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</si>
  <si>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</si>
  <si>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</si>
  <si>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</si>
  <si>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</si>
  <si>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</si>
  <si>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</si>
  <si>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</si>
  <si>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</si>
  <si>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</si>
  <si>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</si>
  <si>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</si>
  <si>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</si>
  <si>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</si>
  <si>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</si>
  <si>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</si>
  <si>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OPEBPlanName</t>
  </si>
  <si>
    <t>OPEBPlanActiveEmployees</t>
  </si>
  <si>
    <t>OPEBActuarialValuationDate</t>
  </si>
  <si>
    <t>OPEBPlanAssets</t>
  </si>
  <si>
    <t>OPEBFundedRatio</t>
  </si>
  <si>
    <t>OPEBDiscountRate</t>
  </si>
  <si>
    <t>OPEBAssumedSalaryGrowth</t>
  </si>
  <si>
    <t>OPEBNetLiabilityAtDiscountRatePlus1</t>
  </si>
  <si>
    <t>OPEBNetLiabilityAtDiscountRateMinus1</t>
  </si>
  <si>
    <t>123456.26</t>
  </si>
  <si>
    <t>d_cafr2017</t>
  </si>
  <si>
    <t>ix:nonNumeric</t>
  </si>
  <si>
    <t>TaxAbatementDescription</t>
  </si>
  <si>
    <t>TaxAbatementName</t>
  </si>
  <si>
    <t>E:\Sanket\Mark Jofe\stp_opeb\St Petersburg OPEB Footnote(1).docx</t>
  </si>
  <si>
    <t>060068073086032105100061084069088084066076079067075032099111110116101110116069100105116097098108101061116114117101032115116121108101061034072069073071072084058032049048048037059032087073068084072058032049048048037034062013010060068073086062068101115099114105112116105111110032111102032116097120032097098097116101109101110116060047068073086062060047068073086062</t>
  </si>
  <si>
    <t>ixt:numcommadot</t>
  </si>
  <si>
    <t>_00001</t>
  </si>
  <si>
    <t>_00002</t>
  </si>
  <si>
    <t>_00003</t>
  </si>
  <si>
    <t>_00004</t>
  </si>
  <si>
    <t>_00005</t>
  </si>
  <si>
    <t>_00006</t>
  </si>
  <si>
    <t>_00007</t>
  </si>
  <si>
    <t>_00008</t>
  </si>
  <si>
    <t>_00009</t>
  </si>
  <si>
    <t>_00010</t>
  </si>
  <si>
    <t>_00011</t>
  </si>
  <si>
    <t>_00012</t>
  </si>
  <si>
    <t>_00013</t>
  </si>
  <si>
    <t>_00014</t>
  </si>
  <si>
    <t>_00015</t>
  </si>
  <si>
    <t>_00016</t>
  </si>
  <si>
    <t>_00017</t>
  </si>
  <si>
    <t>_00018</t>
  </si>
  <si>
    <t>_00019</t>
  </si>
  <si>
    <t>_00020</t>
  </si>
  <si>
    <t>_00021</t>
  </si>
  <si>
    <t>_00022</t>
  </si>
  <si>
    <t>scale</t>
  </si>
  <si>
    <t>Untagged Sections</t>
  </si>
  <si>
    <t>General information</t>
  </si>
  <si>
    <t>D:\stp_0702\City of St  Petersburg Untagged HTML.txt</t>
  </si>
  <si>
    <t>D:\stp_0702\St Petersburg Florida CAFR 2017 Footnotes 18-22 v2.docx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</si>
</sst>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4" formatCode="_(&quot;$&quot;* #,##0.00_);_(&quot;$&quot;* \(#,##0.00\);_(&quot;$&quot;* &quot;-&quot;??_);_(@_)"/>
    <numFmt numFmtId="43" formatCode="_(* #,##0.00_);_(* \(#,##0.00\);_(* &quot;-&quot;??_);_(@_)"/>
    <numFmt numFmtId="164" formatCode="_(* #,##0_);_(* \(#,##0\);_(* &quot;-&quot;??_);_(@_)"/>
    <numFmt numFmtId="165" formatCode="[$-409]mmmm\ d\,\ yyyy;@"/>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color indexed="8"/>
      <name val="Calibri"/>
      <family val="2"/>
      <scheme val="minor"/>
    </font>
    <font>
      <b/>
      <sz val="10"/>
      <name val="Arial"/>
      <family val="2"/>
    </font>
    <font>
      <sz val="11"/>
      <name val="Calibri"/>
      <family val="2"/>
      <scheme val="minor"/>
    </font>
    <font>
      <sz val="11"/>
      <color rgb="FF000000"/>
      <name val="Calibri"/>
      <family val="2"/>
      <scheme val="minor"/>
    </font>
    <font>
      <b/>
      <sz val="11"/>
      <color theme="1"/>
      <name val="Arial"/>
      <family val="2"/>
    </font>
    <font>
      <b/>
      <sz val="11"/>
      <color rgb="FF000000"/>
      <name val="Calibri"/>
      <family val="2"/>
      <scheme val="minor"/>
    </font>
    <font>
      <sz val="6.5"/>
      <color rgb="FF000000"/>
      <name val="Arial"/>
      <family val="2"/>
    </font>
    <font>
      <sz val="6.5"/>
      <color theme="1"/>
      <name val="Arial"/>
      <family val="2"/>
    </font>
    <font>
      <sz val="12"/>
      <color theme="1"/>
      <name val="Calibri"/>
      <family val="2"/>
      <scheme val="minor"/>
    </font>
    <font>
      <sz val="12"/>
      <color rgb="FF000000"/>
      <name val="Calibri"/>
      <family val="2"/>
      <scheme val="minor"/>
    </font>
    <font>
      <b/>
      <sz val="12"/>
      <name val="Calibri"/>
      <family val="2"/>
      <scheme val="minor"/>
    </font>
    <font>
      <i/>
      <sz val="11"/>
      <color theme="1"/>
      <name val="Calibri"/>
      <family val="2"/>
      <scheme val="minor"/>
    </font>
    <font>
      <u/>
      <sz val="11"/>
      <color theme="10"/>
      <name val="Calibri"/>
      <family val="2"/>
    </font>
    <font>
      <sz val="10"/>
      <name val="Arial"/>
      <family val="2"/>
    </font>
    <font>
      <sz val="12"/>
      <name val="Calibri"/>
      <family val="2"/>
    </font>
    <font>
      <sz val="11"/>
      <name val="Calibri"/>
      <family val="2"/>
    </font>
    <font>
      <sz val="9"/>
      <color theme="1"/>
      <name val="Calibri"/>
      <family val="2"/>
      <scheme val="minor"/>
    </font>
    <font>
      <b/>
      <sz val="16"/>
      <color theme="1"/>
      <name val="Calibri"/>
      <family val="2"/>
      <scheme val="minor"/>
    </font>
    <font>
      <b/>
      <sz val="14"/>
      <color theme="0"/>
      <name val="Calibri"/>
      <family val="2"/>
      <scheme val="minor"/>
    </font>
    <font>
      <sz val="11"/>
      <color theme="0"/>
      <name val="Calibri"/>
      <family val="2"/>
      <scheme val="minor"/>
    </font>
    <font>
      <b/>
      <sz val="11"/>
      <color theme="0"/>
      <name val="Calibri"/>
      <family val="2"/>
      <scheme val="minor"/>
    </font>
    <font>
      <sz val="11"/>
      <color theme="1"/>
      <name val="Calibri"/>
      <family val="2"/>
      <scheme val="minor"/>
    </font>
  </fonts>
  <fills count="17">
    <fill>
      <patternFill patternType="none"/>
    </fill>
    <fill>
      <patternFill patternType="gray125"/>
    </fill>
    <fill>
      <patternFill patternType="solid">
        <fgColor rgb="FF92CDDC"/>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DCE9F2"/>
        <bgColor indexed="64"/>
      </patternFill>
    </fill>
    <fill>
      <patternFill patternType="solid">
        <fgColor rgb="FFFFFFFF"/>
        <bgColor indexed="64"/>
      </patternFill>
    </fill>
    <fill>
      <patternFill patternType="solid">
        <fgColor theme="0" tint="-4.9989318521683403E-2"/>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bgColor theme="4"/>
      </patternFill>
    </fill>
    <fill>
      <patternFill patternType="solid">
        <fgColor theme="4" tint="0.79998168889431442"/>
        <bgColor theme="4" tint="0.79998168889431442"/>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theme="4" tint="0.59996337778862885"/>
      </bottom>
      <diagonal/>
    </border>
    <border>
      <left/>
      <right/>
      <top/>
      <bottom style="thin">
        <color theme="4" tint="0.59996337778862885"/>
      </bottom>
      <diagonal/>
    </border>
    <border>
      <left/>
      <right style="thin">
        <color indexed="64"/>
      </right>
      <top/>
      <bottom style="thin">
        <color theme="4" tint="0.59996337778862885"/>
      </bottom>
      <diagonal/>
    </border>
    <border>
      <left style="thin">
        <color indexed="64"/>
      </left>
      <right style="thin">
        <color indexed="64"/>
      </right>
      <top/>
      <bottom/>
      <diagonal/>
    </border>
    <border>
      <left style="thin">
        <color indexed="64"/>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auto="1"/>
      </left>
      <right style="thin">
        <color theme="4" tint="0.39997558519241921"/>
      </right>
      <top style="thin">
        <color auto="1"/>
      </top>
      <bottom style="thin">
        <color auto="1"/>
      </bottom>
      <diagonal/>
    </border>
    <border>
      <left style="thin">
        <color theme="4" tint="0.39997558519241921"/>
      </left>
      <right style="thin">
        <color theme="4" tint="0.39997558519241921"/>
      </right>
      <top style="thin">
        <color auto="1"/>
      </top>
      <bottom style="thin">
        <color auto="1"/>
      </bottom>
      <diagonal/>
    </border>
    <border>
      <left style="thin">
        <color theme="4" tint="0.39997558519241921"/>
      </left>
      <right style="thin">
        <color auto="1"/>
      </right>
      <top style="thin">
        <color auto="1"/>
      </top>
      <bottom style="thin">
        <color auto="1"/>
      </bottom>
      <diagonal/>
    </border>
    <border>
      <left/>
      <right/>
      <top/>
      <bottom style="thin">
        <color indexed="64"/>
      </bottom>
      <diagonal/>
    </border>
    <border>
      <left style="thin">
        <color indexed="64"/>
      </left>
      <right/>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top style="thin">
        <color indexed="64"/>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indexed="64"/>
      </top>
      <bottom style="thin">
        <color theme="3" tint="0.79998168889431442"/>
      </bottom>
      <diagonal/>
    </border>
    <border>
      <left/>
      <right style="thin">
        <color indexed="64"/>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right style="thin">
        <color indexed="64"/>
      </right>
      <top style="thin">
        <color indexed="64"/>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79998168889431442"/>
      </top>
      <bottom/>
      <diagonal/>
    </border>
    <border>
      <left/>
      <right style="thin">
        <color indexed="64"/>
      </right>
      <top/>
      <bottom style="thin">
        <color theme="3" tint="0.79998168889431442"/>
      </bottom>
      <diagonal/>
    </border>
    <border>
      <left style="medium">
        <color theme="8"/>
      </left>
      <right style="medium">
        <color theme="8"/>
      </right>
      <top style="medium">
        <color theme="8"/>
      </top>
      <bottom style="medium">
        <color theme="8"/>
      </bottom>
      <diagonal/>
    </border>
    <border>
      <left style="thin">
        <color indexed="64"/>
      </left>
      <right/>
      <top style="thin">
        <color theme="4" tint="0.59996337778862885"/>
      </top>
      <bottom/>
      <diagonal/>
    </border>
    <border>
      <left/>
      <right/>
      <top style="thin">
        <color theme="4" tint="0.59996337778862885"/>
      </top>
      <bottom/>
      <diagonal/>
    </border>
    <border>
      <left/>
      <right style="thin">
        <color indexed="64"/>
      </right>
      <top style="thin">
        <color theme="4" tint="0.59996337778862885"/>
      </top>
      <bottom/>
      <diagonal/>
    </border>
    <border>
      <left style="thin">
        <color indexed="64"/>
      </left>
      <right style="thin">
        <color indexed="64"/>
      </right>
      <top/>
      <bottom style="thin">
        <color theme="8" tint="0.59996337778862885"/>
      </bottom>
      <diagonal/>
    </border>
    <border>
      <left/>
      <right/>
      <top/>
      <bottom style="thin">
        <color theme="8" tint="0.59996337778862885"/>
      </bottom>
      <diagonal/>
    </border>
    <border>
      <left/>
      <right style="thin">
        <color indexed="64"/>
      </right>
      <top/>
      <bottom style="thin">
        <color theme="8" tint="0.59996337778862885"/>
      </bottom>
      <diagonal/>
    </border>
    <border>
      <left style="thin">
        <color indexed="64"/>
      </left>
      <right style="thin">
        <color indexed="64"/>
      </right>
      <top style="thin">
        <color theme="8" tint="0.59996337778862885"/>
      </top>
      <bottom style="thin">
        <color theme="8" tint="0.59996337778862885"/>
      </bottom>
      <diagonal/>
    </border>
    <border>
      <left/>
      <right/>
      <top style="thin">
        <color theme="8" tint="0.59996337778862885"/>
      </top>
      <bottom style="thin">
        <color theme="8" tint="0.59996337778862885"/>
      </bottom>
      <diagonal/>
    </border>
    <border>
      <left/>
      <right style="thin">
        <color indexed="64"/>
      </right>
      <top style="thin">
        <color theme="8" tint="0.59996337778862885"/>
      </top>
      <bottom style="thin">
        <color theme="8" tint="0.59996337778862885"/>
      </bottom>
      <diagonal/>
    </border>
    <border>
      <left style="thin">
        <color indexed="64"/>
      </left>
      <right style="thin">
        <color indexed="64"/>
      </right>
      <top style="thin">
        <color theme="8" tint="0.59996337778862885"/>
      </top>
      <bottom style="thin">
        <color indexed="64"/>
      </bottom>
      <diagonal/>
    </border>
    <border>
      <left/>
      <right/>
      <top style="thin">
        <color theme="8" tint="0.59996337778862885"/>
      </top>
      <bottom style="thin">
        <color indexed="64"/>
      </bottom>
      <diagonal/>
    </border>
    <border>
      <left/>
      <right style="thin">
        <color indexed="64"/>
      </right>
      <top style="thin">
        <color theme="8" tint="0.59996337778862885"/>
      </top>
      <bottom style="thin">
        <color indexed="64"/>
      </bottom>
      <diagonal/>
    </border>
    <border>
      <left style="thin">
        <color indexed="64"/>
      </left>
      <right/>
      <top style="thin">
        <color indexed="64"/>
      </top>
      <bottom style="thin">
        <color theme="4" tint="0.59996337778862885"/>
      </bottom>
      <diagonal/>
    </border>
    <border>
      <left/>
      <right/>
      <top style="thin">
        <color indexed="64"/>
      </top>
      <bottom style="thin">
        <color theme="4" tint="0.59996337778862885"/>
      </bottom>
      <diagonal/>
    </border>
    <border>
      <left/>
      <right style="thin">
        <color indexed="64"/>
      </right>
      <top style="thin">
        <color indexed="64"/>
      </top>
      <bottom style="thin">
        <color theme="4" tint="0.59996337778862885"/>
      </bottom>
      <diagonal/>
    </border>
    <border>
      <left style="thin">
        <color indexed="64"/>
      </left>
      <right/>
      <top style="thin">
        <color theme="4" tint="0.59996337778862885"/>
      </top>
      <bottom style="thin">
        <color indexed="64"/>
      </bottom>
      <diagonal/>
    </border>
    <border>
      <left/>
      <right/>
      <top style="thin">
        <color theme="4" tint="0.59996337778862885"/>
      </top>
      <bottom style="thin">
        <color indexed="64"/>
      </bottom>
      <diagonal/>
    </border>
    <border>
      <left/>
      <right style="thin">
        <color indexed="64"/>
      </right>
      <top style="thin">
        <color theme="4" tint="0.59996337778862885"/>
      </top>
      <bottom style="thin">
        <color indexed="64"/>
      </bottom>
      <diagonal/>
    </border>
    <border>
      <left style="thin">
        <color indexed="64"/>
      </left>
      <right/>
      <top style="thin">
        <color indexed="64"/>
      </top>
      <bottom style="thin">
        <color theme="3" tint="0.59996337778862885"/>
      </bottom>
      <diagonal/>
    </border>
    <border>
      <left/>
      <right/>
      <top style="thin">
        <color indexed="64"/>
      </top>
      <bottom style="thin">
        <color theme="3" tint="0.59996337778862885"/>
      </bottom>
      <diagonal/>
    </border>
    <border>
      <left/>
      <right style="thin">
        <color indexed="64"/>
      </right>
      <top style="thin">
        <color indexed="64"/>
      </top>
      <bottom style="thin">
        <color theme="3" tint="0.59996337778862885"/>
      </bottom>
      <diagonal/>
    </border>
    <border>
      <left style="thin">
        <color indexed="64"/>
      </left>
      <right/>
      <top style="thin">
        <color theme="3" tint="0.59996337778862885"/>
      </top>
      <bottom style="thin">
        <color indexed="64"/>
      </bottom>
      <diagonal/>
    </border>
    <border>
      <left/>
      <right/>
      <top style="thin">
        <color theme="3" tint="0.59996337778862885"/>
      </top>
      <bottom style="thin">
        <color indexed="64"/>
      </bottom>
      <diagonal/>
    </border>
    <border>
      <left/>
      <right style="thin">
        <color indexed="64"/>
      </right>
      <top style="thin">
        <color theme="3" tint="0.59996337778862885"/>
      </top>
      <bottom style="thin">
        <color indexed="64"/>
      </bottom>
      <diagonal/>
    </border>
    <border>
      <left/>
      <right/>
      <top/>
      <bottom style="thin">
        <color theme="4" tint="0.39997558519241921"/>
      </bottom>
      <diagonal/>
    </border>
    <border>
      <left style="thin">
        <color indexed="64"/>
      </left>
      <right style="thin">
        <color indexed="64"/>
      </right>
      <top style="thin">
        <color theme="3" tint="0.59996337778862885"/>
      </top>
      <bottom/>
      <diagonal/>
    </border>
  </borders>
  <cellStyleXfs count="6">
    <xf numFmtId="0" fontId="0" fillId="0" borderId="0"/>
    <xf numFmtId="43" fontId="1" fillId="0" borderId="0" applyFont="0" applyFill="0" applyBorder="0" applyAlignment="0" applyProtection="0"/>
    <xf numFmtId="0" fontId="4" fillId="0" borderId="0"/>
    <xf numFmtId="0" fontId="16" fillId="0" borderId="0" applyNumberFormat="0" applyFill="0" applyBorder="0" applyAlignment="0" applyProtection="0">
      <alignment vertical="top"/>
      <protection locked="0"/>
    </xf>
    <xf numFmtId="0" fontId="17" fillId="0" borderId="0" applyNumberFormat="0" applyFont="0" applyFill="0" applyBorder="0" applyAlignment="0" applyProtection="0">
      <alignment vertical="top"/>
    </xf>
    <xf numFmtId="44" fontId="1" fillId="0" borderId="0" applyFont="0" applyFill="0" applyBorder="0" applyAlignment="0" applyProtection="0"/>
  </cellStyleXfs>
  <cellXfs count="846">
    <xf numFmtId="0" fontId="0" fillId="0" borderId="0" xfId="0"/>
    <xf numFmtId="0" fontId="3" fillId="2"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left" wrapText="1"/>
      <protection hidden="1"/>
    </xf>
    <xf numFmtId="0" fontId="0" fillId="0" borderId="2" xfId="0" applyFont="1" applyBorder="1" applyAlignment="1">
      <alignment horizontal="left" vertical="center" wrapText="1" indent="1"/>
    </xf>
    <xf numFmtId="164" fontId="0" fillId="0" borderId="2" xfId="1" applyNumberFormat="1" applyFont="1" applyFill="1" applyBorder="1" applyAlignment="1">
      <alignment horizontal="right"/>
    </xf>
    <xf numFmtId="0" fontId="0" fillId="0" borderId="3" xfId="0" applyFont="1" applyBorder="1" applyAlignment="1">
      <alignment horizontal="left" vertical="center" wrapText="1" indent="1"/>
    </xf>
    <xf numFmtId="164" fontId="0" fillId="0" borderId="3" xfId="1" applyNumberFormat="1" applyFont="1" applyFill="1" applyBorder="1" applyAlignment="1">
      <alignment horizontal="right"/>
    </xf>
    <xf numFmtId="0" fontId="0" fillId="0" borderId="4" xfId="0" applyFont="1" applyBorder="1" applyAlignment="1">
      <alignment horizontal="left" vertical="center" wrapText="1" indent="1"/>
    </xf>
    <xf numFmtId="164" fontId="0" fillId="0" borderId="4" xfId="1" applyNumberFormat="1" applyFont="1" applyFill="1" applyBorder="1" applyAlignment="1">
      <alignment horizontal="right"/>
    </xf>
    <xf numFmtId="164" fontId="0" fillId="0" borderId="4" xfId="0" applyNumberFormat="1" applyFill="1" applyBorder="1" applyAlignment="1">
      <alignment horizontal="right"/>
    </xf>
    <xf numFmtId="0" fontId="2" fillId="3" borderId="1" xfId="0" applyFont="1" applyFill="1" applyBorder="1" applyAlignment="1" applyProtection="1">
      <alignment horizontal="left" wrapText="1" indent="1"/>
      <protection hidden="1"/>
    </xf>
    <xf numFmtId="0" fontId="0" fillId="0" borderId="2" xfId="0" applyFont="1" applyBorder="1" applyAlignment="1">
      <alignment horizontal="left" vertical="center" wrapText="1" indent="2"/>
    </xf>
    <xf numFmtId="0" fontId="0" fillId="0" borderId="3" xfId="0" applyFont="1" applyBorder="1" applyAlignment="1">
      <alignment horizontal="left" vertical="center" wrapText="1" indent="2"/>
    </xf>
    <xf numFmtId="0" fontId="0" fillId="0" borderId="4" xfId="0" applyFont="1" applyBorder="1" applyAlignment="1">
      <alignment horizontal="left" vertical="center" wrapText="1" indent="2"/>
    </xf>
    <xf numFmtId="0" fontId="3" fillId="4" borderId="1" xfId="2" applyFont="1" applyFill="1" applyBorder="1" applyAlignment="1" applyProtection="1">
      <alignment horizontal="right" vertical="center" wrapText="1"/>
      <protection hidden="1"/>
    </xf>
    <xf numFmtId="41" fontId="3" fillId="5" borderId="1" xfId="1" applyNumberFormat="1" applyFont="1" applyFill="1" applyBorder="1" applyAlignment="1" applyProtection="1">
      <alignment horizontal="right" vertical="center"/>
      <protection hidden="1"/>
    </xf>
    <xf numFmtId="0" fontId="0" fillId="0" borderId="3" xfId="0" applyFill="1" applyBorder="1" applyAlignment="1">
      <alignment horizontal="left" indent="2"/>
    </xf>
    <xf numFmtId="0" fontId="0" fillId="0" borderId="0" xfId="0" applyFill="1"/>
    <xf numFmtId="0" fontId="5" fillId="0" borderId="0" xfId="0" applyFont="1" applyFill="1"/>
    <xf numFmtId="0" fontId="6" fillId="0" borderId="2" xfId="0" applyFont="1" applyFill="1" applyBorder="1" applyAlignment="1">
      <alignment horizontal="left" indent="1"/>
    </xf>
    <xf numFmtId="0" fontId="6" fillId="0" borderId="3" xfId="0" applyFont="1" applyFill="1" applyBorder="1" applyAlignment="1">
      <alignment horizontal="left" indent="1"/>
    </xf>
    <xf numFmtId="0" fontId="0" fillId="0" borderId="0" xfId="0" applyFont="1" applyFill="1"/>
    <xf numFmtId="0" fontId="6" fillId="0" borderId="4" xfId="0" applyFont="1" applyFill="1" applyBorder="1" applyAlignment="1">
      <alignment horizontal="left" indent="1"/>
    </xf>
    <xf numFmtId="0" fontId="6" fillId="0" borderId="3" xfId="0" applyFont="1" applyFill="1" applyBorder="1" applyAlignment="1">
      <alignment horizontal="left" wrapText="1" indent="1"/>
    </xf>
    <xf numFmtId="164" fontId="0" fillId="0" borderId="0" xfId="1" applyNumberFormat="1" applyFont="1" applyFill="1" applyBorder="1" applyAlignment="1">
      <alignment horizontal="right"/>
    </xf>
    <xf numFmtId="41" fontId="0" fillId="0" borderId="0" xfId="1" applyNumberFormat="1" applyFont="1" applyFill="1" applyBorder="1" applyAlignment="1">
      <alignment horizontal="right"/>
    </xf>
    <xf numFmtId="0" fontId="0" fillId="0" borderId="4" xfId="0" applyFill="1" applyBorder="1" applyAlignment="1">
      <alignment horizontal="left" indent="2"/>
    </xf>
    <xf numFmtId="0" fontId="0" fillId="0" borderId="0" xfId="0" applyProtection="1">
      <protection locked="0"/>
    </xf>
    <xf numFmtId="0" fontId="0" fillId="0" borderId="0" xfId="0" applyFont="1"/>
    <xf numFmtId="0" fontId="0" fillId="0" borderId="2" xfId="0" applyFont="1" applyBorder="1" applyAlignment="1">
      <alignment vertical="center" wrapText="1"/>
    </xf>
    <xf numFmtId="0" fontId="0" fillId="0" borderId="4" xfId="0" applyFont="1" applyBorder="1" applyAlignment="1">
      <alignment vertical="center" wrapText="1"/>
    </xf>
    <xf numFmtId="0" fontId="0" fillId="0" borderId="12" xfId="0" applyFont="1" applyBorder="1" applyAlignment="1">
      <alignment vertical="center" wrapText="1"/>
    </xf>
    <xf numFmtId="0" fontId="0" fillId="0" borderId="3" xfId="0" applyFont="1" applyBorder="1" applyAlignment="1">
      <alignment vertical="center" wrapText="1"/>
    </xf>
    <xf numFmtId="3" fontId="0" fillId="0" borderId="3" xfId="0" applyNumberFormat="1" applyFont="1" applyBorder="1" applyAlignment="1">
      <alignment horizontal="right" vertical="center" wrapText="1"/>
    </xf>
    <xf numFmtId="0" fontId="7" fillId="0" borderId="3" xfId="0" applyFont="1" applyBorder="1" applyAlignment="1">
      <alignment vertical="center" wrapText="1"/>
    </xf>
    <xf numFmtId="0" fontId="7" fillId="0" borderId="2" xfId="0" applyFont="1" applyBorder="1" applyAlignment="1">
      <alignment vertical="center" wrapText="1"/>
    </xf>
    <xf numFmtId="0" fontId="7" fillId="0" borderId="4" xfId="0" applyFont="1" applyBorder="1" applyAlignment="1">
      <alignment vertical="center" wrapText="1"/>
    </xf>
    <xf numFmtId="0" fontId="3" fillId="2" borderId="8" xfId="0" applyFont="1" applyFill="1" applyBorder="1" applyAlignment="1" applyProtection="1">
      <alignment horizontal="center" vertical="center" wrapText="1"/>
      <protection hidden="1"/>
    </xf>
    <xf numFmtId="0" fontId="8" fillId="0" borderId="0" xfId="0" applyFont="1" applyAlignment="1">
      <alignment horizontal="center" vertical="center" wrapText="1"/>
    </xf>
    <xf numFmtId="0" fontId="0" fillId="2" borderId="12"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3" fillId="4" borderId="8" xfId="2" applyFont="1" applyFill="1" applyBorder="1" applyAlignment="1" applyProtection="1">
      <alignment horizontal="right" vertical="center" wrapText="1"/>
      <protection hidden="1"/>
    </xf>
    <xf numFmtId="0" fontId="0" fillId="0" borderId="18" xfId="0" applyFont="1" applyBorder="1" applyAlignment="1">
      <alignment vertical="center" wrapText="1"/>
    </xf>
    <xf numFmtId="3" fontId="0" fillId="0" borderId="18" xfId="0" applyNumberFormat="1" applyFont="1" applyBorder="1" applyAlignment="1">
      <alignment horizontal="right" vertical="center" wrapText="1"/>
    </xf>
    <xf numFmtId="0" fontId="0" fillId="0" borderId="16" xfId="0" applyFont="1" applyBorder="1" applyAlignment="1">
      <alignment vertical="center" wrapText="1"/>
    </xf>
    <xf numFmtId="3" fontId="0" fillId="0" borderId="1" xfId="0" applyNumberFormat="1" applyFont="1" applyBorder="1" applyAlignment="1">
      <alignment horizontal="right" vertical="center" wrapText="1"/>
    </xf>
    <xf numFmtId="0" fontId="3" fillId="4" borderId="17" xfId="2" applyFont="1" applyFill="1" applyBorder="1" applyAlignment="1" applyProtection="1">
      <alignment horizontal="right" vertical="center" wrapText="1"/>
      <protection hidden="1"/>
    </xf>
    <xf numFmtId="41" fontId="3" fillId="5" borderId="17" xfId="1" applyNumberFormat="1" applyFont="1" applyFill="1" applyBorder="1" applyAlignment="1" applyProtection="1">
      <alignment horizontal="right" vertical="center"/>
      <protection hidden="1"/>
    </xf>
    <xf numFmtId="10" fontId="3" fillId="5" borderId="17" xfId="1" applyNumberFormat="1" applyFont="1" applyFill="1" applyBorder="1" applyAlignment="1" applyProtection="1">
      <alignment horizontal="right" vertical="center"/>
      <protection hidden="1"/>
    </xf>
    <xf numFmtId="41" fontId="0" fillId="0" borderId="0" xfId="0" applyNumberFormat="1"/>
    <xf numFmtId="0" fontId="7" fillId="0" borderId="18" xfId="0" applyFont="1" applyBorder="1" applyAlignment="1">
      <alignment vertical="center" wrapText="1"/>
    </xf>
    <xf numFmtId="0" fontId="0" fillId="0" borderId="0" xfId="0" applyFont="1" applyAlignment="1">
      <alignment wrapText="1"/>
    </xf>
    <xf numFmtId="0" fontId="0" fillId="0" borderId="0" xfId="0" applyFont="1" applyAlignment="1"/>
    <xf numFmtId="0" fontId="0"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10" fillId="0" borderId="0" xfId="0" applyFont="1" applyAlignment="1">
      <alignment vertical="center" wrapText="1"/>
    </xf>
    <xf numFmtId="0" fontId="10" fillId="0" borderId="0" xfId="0" applyFont="1" applyAlignment="1">
      <alignment horizontal="right" vertical="center" wrapText="1"/>
    </xf>
    <xf numFmtId="0" fontId="11" fillId="0" borderId="0" xfId="0" applyFont="1" applyAlignment="1">
      <alignment horizontal="right" vertical="center" wrapText="1"/>
    </xf>
    <xf numFmtId="43" fontId="0" fillId="0" borderId="0" xfId="0" applyNumberFormat="1" applyFont="1"/>
    <xf numFmtId="0" fontId="2" fillId="2" borderId="8" xfId="0" applyNumberFormat="1" applyFont="1" applyFill="1" applyBorder="1" applyAlignment="1">
      <alignment horizontal="center" vertical="center" wrapText="1"/>
    </xf>
    <xf numFmtId="0" fontId="9" fillId="2" borderId="8" xfId="0" applyNumberFormat="1" applyFont="1" applyFill="1" applyBorder="1" applyAlignment="1">
      <alignment horizontal="center" vertical="center" wrapText="1"/>
    </xf>
    <xf numFmtId="43" fontId="2" fillId="3" borderId="1" xfId="0" applyNumberFormat="1" applyFont="1" applyFill="1" applyBorder="1" applyAlignment="1" applyProtection="1">
      <alignment horizontal="left" wrapText="1"/>
      <protection hidden="1"/>
    </xf>
    <xf numFmtId="43" fontId="2" fillId="3" borderId="1" xfId="0" applyNumberFormat="1" applyFont="1" applyFill="1" applyBorder="1" applyAlignment="1" applyProtection="1">
      <alignment horizontal="left" wrapText="1" indent="1"/>
      <protection hidden="1"/>
    </xf>
    <xf numFmtId="43" fontId="7" fillId="0" borderId="2" xfId="0" applyNumberFormat="1" applyFont="1" applyBorder="1" applyAlignment="1">
      <alignment horizontal="right" vertical="center" wrapText="1"/>
    </xf>
    <xf numFmtId="43" fontId="0" fillId="0" borderId="2" xfId="0" applyNumberFormat="1" applyFont="1" applyBorder="1" applyAlignment="1">
      <alignment horizontal="right" vertical="center" wrapText="1"/>
    </xf>
    <xf numFmtId="43" fontId="7" fillId="0" borderId="3" xfId="0" applyNumberFormat="1" applyFont="1" applyBorder="1" applyAlignment="1">
      <alignment horizontal="right" vertical="center" wrapText="1"/>
    </xf>
    <xf numFmtId="43" fontId="0" fillId="0" borderId="3" xfId="0" applyNumberFormat="1" applyFont="1" applyBorder="1" applyAlignment="1">
      <alignment horizontal="right" vertical="center" wrapText="1"/>
    </xf>
    <xf numFmtId="43" fontId="7" fillId="0" borderId="4" xfId="0" applyNumberFormat="1" applyFont="1" applyBorder="1" applyAlignment="1">
      <alignment horizontal="right" vertical="center" wrapText="1"/>
    </xf>
    <xf numFmtId="43" fontId="0" fillId="0" borderId="4" xfId="0" applyNumberFormat="1" applyFont="1" applyBorder="1" applyAlignment="1">
      <alignment horizontal="right" vertical="center" wrapText="1"/>
    </xf>
    <xf numFmtId="43" fontId="3" fillId="4" borderId="1" xfId="2" applyNumberFormat="1" applyFont="1" applyFill="1" applyBorder="1" applyAlignment="1" applyProtection="1">
      <alignment horizontal="right" vertical="center"/>
      <protection hidden="1"/>
    </xf>
    <xf numFmtId="43" fontId="3" fillId="5" borderId="1" xfId="1" applyNumberFormat="1" applyFont="1" applyFill="1" applyBorder="1" applyAlignment="1" applyProtection="1">
      <alignment horizontal="right" vertical="center"/>
      <protection hidden="1"/>
    </xf>
    <xf numFmtId="43" fontId="3" fillId="4" borderId="17" xfId="2" applyNumberFormat="1" applyFont="1" applyFill="1" applyBorder="1" applyAlignment="1" applyProtection="1">
      <alignment horizontal="right" vertical="center"/>
      <protection hidden="1"/>
    </xf>
    <xf numFmtId="43" fontId="3" fillId="5" borderId="17" xfId="1" applyNumberFormat="1" applyFont="1" applyFill="1" applyBorder="1" applyAlignment="1" applyProtection="1">
      <alignment horizontal="right" vertical="center"/>
      <protection hidden="1"/>
    </xf>
    <xf numFmtId="43" fontId="2" fillId="3" borderId="18" xfId="0" applyNumberFormat="1" applyFont="1" applyFill="1" applyBorder="1" applyAlignment="1" applyProtection="1">
      <alignment horizontal="left" wrapText="1" indent="1"/>
      <protection hidden="1"/>
    </xf>
    <xf numFmtId="43" fontId="7" fillId="0" borderId="18" xfId="0" applyNumberFormat="1" applyFont="1" applyBorder="1" applyAlignment="1">
      <alignment horizontal="right" vertical="center" wrapText="1"/>
    </xf>
    <xf numFmtId="43" fontId="7" fillId="0" borderId="16" xfId="0" applyNumberFormat="1" applyFont="1" applyBorder="1" applyAlignment="1">
      <alignment horizontal="right" vertical="center" wrapText="1"/>
    </xf>
    <xf numFmtId="43" fontId="0" fillId="0" borderId="0" xfId="0" applyNumberFormat="1" applyFont="1" applyAlignment="1"/>
    <xf numFmtId="0" fontId="0" fillId="0" borderId="3" xfId="0" applyBorder="1" applyAlignment="1" applyProtection="1">
      <alignment horizontal="left" indent="1"/>
      <protection hidden="1"/>
    </xf>
    <xf numFmtId="0" fontId="0" fillId="0" borderId="4" xfId="0" applyBorder="1" applyAlignment="1" applyProtection="1">
      <alignment horizontal="left" indent="1"/>
      <protection hidden="1"/>
    </xf>
    <xf numFmtId="0" fontId="3" fillId="4" borderId="1" xfId="2" applyFont="1" applyFill="1" applyBorder="1" applyAlignment="1" applyProtection="1">
      <alignment horizontal="right" vertical="center"/>
      <protection hidden="1"/>
    </xf>
    <xf numFmtId="0" fontId="0" fillId="0" borderId="0" xfId="0" applyFont="1" applyAlignment="1">
      <alignment vertical="center" wrapText="1"/>
    </xf>
    <xf numFmtId="0" fontId="0" fillId="0" borderId="0" xfId="0" applyFont="1" applyBorder="1" applyAlignment="1">
      <alignment horizontal="right" vertical="center" wrapText="1"/>
    </xf>
    <xf numFmtId="0" fontId="0" fillId="0" borderId="0" xfId="0" applyFont="1" applyAlignment="1">
      <alignment horizontal="right" vertical="center" wrapText="1"/>
    </xf>
    <xf numFmtId="0" fontId="7" fillId="0" borderId="0" xfId="0" applyFont="1" applyBorder="1" applyAlignment="1">
      <alignment horizontal="right" vertical="center" wrapText="1"/>
    </xf>
    <xf numFmtId="0" fontId="0" fillId="2" borderId="1" xfId="0" applyNumberFormat="1" applyFont="1" applyFill="1" applyBorder="1" applyAlignment="1">
      <alignment horizontal="center" vertical="center" wrapText="1"/>
    </xf>
    <xf numFmtId="0" fontId="7" fillId="2" borderId="1" xfId="0" applyNumberFormat="1" applyFont="1" applyFill="1" applyBorder="1" applyAlignment="1">
      <alignment horizontal="center" vertical="center" wrapText="1"/>
    </xf>
    <xf numFmtId="41" fontId="3" fillId="5" borderId="8" xfId="1" applyNumberFormat="1" applyFont="1" applyFill="1" applyBorder="1" applyAlignment="1" applyProtection="1">
      <alignment horizontal="right" vertical="center"/>
      <protection hidden="1"/>
    </xf>
    <xf numFmtId="0" fontId="3" fillId="4" borderId="17" xfId="2" applyFont="1" applyFill="1" applyBorder="1" applyAlignment="1" applyProtection="1">
      <alignment horizontal="right" vertical="center"/>
      <protection hidden="1"/>
    </xf>
    <xf numFmtId="0" fontId="12" fillId="0" borderId="2" xfId="0" applyFont="1" applyBorder="1" applyAlignment="1">
      <alignment horizontal="center" vertical="center" wrapText="1"/>
    </xf>
    <xf numFmtId="0" fontId="12" fillId="0" borderId="3"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6" xfId="0" applyFont="1" applyBorder="1" applyAlignment="1">
      <alignment horizontal="center" vertical="center" wrapText="1"/>
    </xf>
    <xf numFmtId="0" fontId="0" fillId="0" borderId="2" xfId="0" applyFont="1" applyBorder="1" applyAlignment="1">
      <alignment horizontal="center" vertical="center" wrapText="1"/>
    </xf>
    <xf numFmtId="0" fontId="0" fillId="0" borderId="3" xfId="0" applyFont="1" applyBorder="1" applyAlignment="1">
      <alignment horizontal="center" vertical="center" wrapText="1"/>
    </xf>
    <xf numFmtId="0" fontId="7" fillId="0" borderId="3" xfId="0" applyFont="1" applyBorder="1" applyAlignment="1">
      <alignment horizontal="center" vertical="center" wrapText="1"/>
    </xf>
    <xf numFmtId="0" fontId="7" fillId="0" borderId="16" xfId="0" applyFont="1" applyBorder="1" applyAlignment="1">
      <alignment horizontal="center" vertical="center" wrapText="1"/>
    </xf>
    <xf numFmtId="41" fontId="0" fillId="6" borderId="28" xfId="1" applyNumberFormat="1" applyFont="1" applyFill="1" applyBorder="1" applyProtection="1">
      <protection locked="0"/>
    </xf>
    <xf numFmtId="41" fontId="0" fillId="6" borderId="30" xfId="1" applyNumberFormat="1" applyFont="1" applyFill="1" applyBorder="1" applyProtection="1">
      <protection locked="0"/>
    </xf>
    <xf numFmtId="0" fontId="15" fillId="0" borderId="0" xfId="0" applyFont="1" applyAlignment="1"/>
    <xf numFmtId="0" fontId="0" fillId="0" borderId="3" xfId="0" applyFont="1" applyBorder="1" applyAlignment="1">
      <alignment horizontal="center" vertical="center"/>
    </xf>
    <xf numFmtId="0" fontId="0" fillId="0" borderId="16" xfId="0" applyFont="1" applyBorder="1" applyAlignment="1">
      <alignment horizontal="center" vertical="center"/>
    </xf>
    <xf numFmtId="0" fontId="0" fillId="0" borderId="0" xfId="0" applyFont="1" applyAlignment="1">
      <alignment vertical="center"/>
    </xf>
    <xf numFmtId="0" fontId="9" fillId="2" borderId="1" xfId="0" applyFont="1" applyFill="1" applyBorder="1" applyAlignment="1">
      <alignment horizontal="center" vertical="center" wrapText="1"/>
    </xf>
    <xf numFmtId="0" fontId="6" fillId="0" borderId="33" xfId="0" applyFont="1" applyFill="1" applyBorder="1" applyAlignment="1" applyProtection="1">
      <alignment horizontal="left" vertical="center" indent="2"/>
    </xf>
    <xf numFmtId="49" fontId="0" fillId="6" borderId="34" xfId="0" applyNumberFormat="1" applyFill="1" applyBorder="1" applyAlignment="1" applyProtection="1">
      <alignment horizontal="center"/>
      <protection locked="0"/>
    </xf>
    <xf numFmtId="49" fontId="0" fillId="6" borderId="35" xfId="0" applyNumberFormat="1" applyFill="1" applyBorder="1" applyAlignment="1" applyProtection="1">
      <alignment horizontal="center" vertical="center"/>
      <protection locked="0"/>
    </xf>
    <xf numFmtId="0" fontId="6" fillId="0" borderId="35" xfId="0" applyFont="1" applyFill="1" applyBorder="1" applyAlignment="1" applyProtection="1">
      <alignment horizontal="left" vertical="center" wrapText="1" indent="2"/>
    </xf>
    <xf numFmtId="0" fontId="0" fillId="6" borderId="34" xfId="0" applyFill="1" applyBorder="1" applyAlignment="1" applyProtection="1">
      <alignment horizontal="center" vertical="center"/>
      <protection locked="0"/>
    </xf>
    <xf numFmtId="0" fontId="6" fillId="0" borderId="34" xfId="0" applyFont="1" applyFill="1" applyBorder="1" applyAlignment="1" applyProtection="1">
      <alignment horizontal="left" vertical="center" indent="2"/>
    </xf>
    <xf numFmtId="49" fontId="0" fillId="0" borderId="0" xfId="0" applyNumberFormat="1"/>
    <xf numFmtId="41" fontId="2" fillId="5" borderId="1" xfId="1" applyNumberFormat="1" applyFont="1" applyFill="1" applyBorder="1" applyAlignment="1" applyProtection="1">
      <alignment horizontal="right" wrapText="1"/>
      <protection hidden="1"/>
    </xf>
    <xf numFmtId="0" fontId="0" fillId="0" borderId="37" xfId="0" applyBorder="1" applyAlignment="1" applyProtection="1">
      <alignment horizontal="left" indent="2"/>
      <protection hidden="1"/>
    </xf>
    <xf numFmtId="0" fontId="0" fillId="0" borderId="38" xfId="0" applyBorder="1" applyAlignment="1" applyProtection="1">
      <alignment horizontal="left" indent="2"/>
      <protection hidden="1"/>
    </xf>
    <xf numFmtId="0" fontId="0" fillId="0" borderId="36" xfId="0" applyBorder="1" applyAlignment="1" applyProtection="1">
      <alignment horizontal="left" indent="2"/>
      <protection hidden="1"/>
    </xf>
    <xf numFmtId="0" fontId="0" fillId="0" borderId="39" xfId="0" applyBorder="1" applyAlignment="1" applyProtection="1">
      <alignment horizontal="left" indent="2"/>
      <protection hidden="1"/>
    </xf>
    <xf numFmtId="0" fontId="0" fillId="0" borderId="41" xfId="0" applyBorder="1" applyAlignment="1" applyProtection="1">
      <alignment horizontal="left" indent="2"/>
      <protection hidden="1"/>
    </xf>
    <xf numFmtId="0" fontId="0" fillId="0" borderId="42" xfId="0" applyBorder="1" applyAlignment="1" applyProtection="1">
      <alignment horizontal="left" indent="2"/>
      <protection hidden="1"/>
    </xf>
    <xf numFmtId="0" fontId="0" fillId="0" borderId="36" xfId="0" applyBorder="1" applyAlignment="1" applyProtection="1">
      <alignment horizontal="left" indent="1"/>
      <protection hidden="1"/>
    </xf>
    <xf numFmtId="0" fontId="0" fillId="0" borderId="39" xfId="0" applyBorder="1" applyAlignment="1" applyProtection="1">
      <alignment horizontal="left" indent="1"/>
      <protection hidden="1"/>
    </xf>
    <xf numFmtId="0" fontId="3" fillId="2" borderId="19" xfId="0" applyFont="1" applyFill="1" applyBorder="1" applyAlignment="1" applyProtection="1">
      <alignment horizontal="center" vertical="center" wrapText="1"/>
      <protection hidden="1"/>
    </xf>
    <xf numFmtId="41" fontId="3" fillId="4" borderId="1" xfId="2" applyNumberFormat="1" applyFont="1" applyFill="1" applyBorder="1" applyAlignment="1" applyProtection="1">
      <alignment horizontal="right" vertical="center"/>
      <protection hidden="1"/>
    </xf>
    <xf numFmtId="41" fontId="0" fillId="0" borderId="41" xfId="0" applyNumberFormat="1" applyBorder="1" applyAlignment="1" applyProtection="1">
      <alignment horizontal="left" indent="2"/>
      <protection hidden="1"/>
    </xf>
    <xf numFmtId="41" fontId="0" fillId="6" borderId="43" xfId="0" applyNumberFormat="1" applyFill="1" applyBorder="1" applyProtection="1">
      <protection hidden="1"/>
    </xf>
    <xf numFmtId="41" fontId="0" fillId="6" borderId="41" xfId="0" applyNumberFormat="1" applyFill="1" applyBorder="1" applyProtection="1">
      <protection locked="0"/>
    </xf>
    <xf numFmtId="41" fontId="0" fillId="6" borderId="42" xfId="0" applyNumberFormat="1" applyFill="1" applyBorder="1" applyProtection="1">
      <protection locked="0"/>
    </xf>
    <xf numFmtId="41" fontId="2" fillId="3" borderId="1" xfId="0" applyNumberFormat="1" applyFont="1" applyFill="1" applyBorder="1" applyAlignment="1" applyProtection="1">
      <alignment horizontal="left" wrapText="1" indent="1"/>
      <protection hidden="1"/>
    </xf>
    <xf numFmtId="41" fontId="3" fillId="5" borderId="1" xfId="2" applyNumberFormat="1" applyFont="1" applyFill="1" applyBorder="1" applyAlignment="1" applyProtection="1">
      <alignment horizontal="right" vertical="center"/>
      <protection hidden="1"/>
    </xf>
    <xf numFmtId="41" fontId="0" fillId="7" borderId="17" xfId="0" applyNumberFormat="1" applyFill="1" applyBorder="1" applyAlignment="1"/>
    <xf numFmtId="41" fontId="0" fillId="6" borderId="41" xfId="0" applyNumberFormat="1" applyFill="1" applyBorder="1" applyProtection="1">
      <protection hidden="1"/>
    </xf>
    <xf numFmtId="41" fontId="0" fillId="7" borderId="12" xfId="0" applyNumberFormat="1" applyFill="1" applyBorder="1" applyAlignment="1"/>
    <xf numFmtId="41" fontId="0" fillId="6" borderId="29" xfId="0" applyNumberFormat="1" applyFill="1" applyBorder="1" applyProtection="1">
      <protection hidden="1"/>
    </xf>
    <xf numFmtId="41" fontId="0" fillId="6" borderId="29" xfId="0" applyNumberFormat="1" applyFill="1" applyBorder="1" applyProtection="1">
      <protection locked="0"/>
    </xf>
    <xf numFmtId="0" fontId="0" fillId="0" borderId="29" xfId="0" applyBorder="1" applyAlignment="1" applyProtection="1">
      <alignment horizontal="left" indent="2"/>
      <protection hidden="1"/>
    </xf>
    <xf numFmtId="41" fontId="0" fillId="6" borderId="42" xfId="0" applyNumberFormat="1" applyFill="1" applyBorder="1" applyProtection="1">
      <protection hidden="1"/>
    </xf>
    <xf numFmtId="41" fontId="0" fillId="7" borderId="8" xfId="0" applyNumberFormat="1" applyFill="1" applyBorder="1" applyAlignment="1"/>
    <xf numFmtId="41" fontId="0" fillId="6" borderId="40" xfId="0" applyNumberFormat="1" applyFill="1" applyBorder="1" applyProtection="1">
      <protection hidden="1"/>
    </xf>
    <xf numFmtId="0" fontId="0" fillId="0" borderId="17" xfId="0" applyBorder="1" applyAlignment="1" applyProtection="1">
      <alignment horizontal="left" indent="2"/>
      <protection hidden="1"/>
    </xf>
    <xf numFmtId="0" fontId="0" fillId="0" borderId="42" xfId="0" applyFont="1" applyFill="1" applyBorder="1" applyAlignment="1" applyProtection="1">
      <alignment horizontal="left" wrapText="1" indent="2"/>
      <protection hidden="1"/>
    </xf>
    <xf numFmtId="41" fontId="0" fillId="0" borderId="0" xfId="0" applyNumberFormat="1" applyProtection="1">
      <protection locked="0"/>
    </xf>
    <xf numFmtId="41" fontId="2" fillId="5" borderId="1" xfId="0" applyNumberFormat="1" applyFont="1" applyFill="1" applyBorder="1" applyAlignment="1" applyProtection="1">
      <alignment horizontal="right" wrapText="1"/>
      <protection hidden="1"/>
    </xf>
    <xf numFmtId="41" fontId="0" fillId="6" borderId="45" xfId="0" applyNumberFormat="1" applyFill="1" applyBorder="1" applyProtection="1">
      <protection hidden="1"/>
    </xf>
    <xf numFmtId="41" fontId="0" fillId="6" borderId="40" xfId="0" applyNumberFormat="1" applyFill="1" applyBorder="1" applyProtection="1">
      <protection locked="0"/>
    </xf>
    <xf numFmtId="41" fontId="0" fillId="6" borderId="46" xfId="0" applyNumberFormat="1" applyFill="1" applyBorder="1" applyProtection="1">
      <protection hidden="1"/>
    </xf>
    <xf numFmtId="41" fontId="0" fillId="6" borderId="42" xfId="1" applyNumberFormat="1" applyFont="1" applyFill="1" applyBorder="1" applyProtection="1">
      <protection locked="0"/>
    </xf>
    <xf numFmtId="41" fontId="0" fillId="6" borderId="47" xfId="0" applyNumberFormat="1" applyFill="1" applyBorder="1" applyProtection="1">
      <protection hidden="1"/>
    </xf>
    <xf numFmtId="41" fontId="0" fillId="6" borderId="48" xfId="0" applyNumberFormat="1" applyFill="1" applyBorder="1" applyProtection="1">
      <protection locked="0"/>
    </xf>
    <xf numFmtId="41" fontId="0" fillId="6" borderId="49" xfId="0" applyNumberFormat="1" applyFill="1" applyBorder="1" applyProtection="1">
      <protection hidden="1"/>
    </xf>
    <xf numFmtId="0" fontId="0" fillId="0" borderId="28" xfId="0" applyBorder="1" applyAlignment="1" applyProtection="1">
      <alignment horizontal="left" indent="2"/>
      <protection hidden="1"/>
    </xf>
    <xf numFmtId="0" fontId="3" fillId="6" borderId="1" xfId="0" applyFont="1" applyFill="1" applyBorder="1" applyAlignment="1" applyProtection="1">
      <alignment horizontal="center" vertical="center" wrapText="1"/>
      <protection hidden="1"/>
    </xf>
    <xf numFmtId="0" fontId="3" fillId="6" borderId="1" xfId="0" applyFont="1" applyFill="1" applyBorder="1" applyAlignment="1" applyProtection="1">
      <alignment horizontal="center" vertical="center" wrapText="1"/>
      <protection locked="0"/>
    </xf>
    <xf numFmtId="0" fontId="3" fillId="6" borderId="5" xfId="0" applyFont="1" applyFill="1" applyBorder="1" applyAlignment="1" applyProtection="1">
      <alignment horizontal="center" vertical="center" wrapText="1"/>
      <protection locked="0"/>
    </xf>
    <xf numFmtId="41" fontId="3" fillId="5" borderId="1" xfId="2" applyNumberFormat="1" applyFont="1" applyFill="1" applyBorder="1" applyAlignment="1" applyProtection="1">
      <alignment horizontal="right" wrapText="1"/>
      <protection hidden="1"/>
    </xf>
    <xf numFmtId="0" fontId="0" fillId="0" borderId="37" xfId="0" applyBorder="1" applyAlignment="1" applyProtection="1">
      <alignment horizontal="left" indent="3"/>
      <protection hidden="1"/>
    </xf>
    <xf numFmtId="41" fontId="0" fillId="6" borderId="23" xfId="0" applyNumberFormat="1" applyFill="1" applyBorder="1" applyProtection="1">
      <protection hidden="1"/>
    </xf>
    <xf numFmtId="41" fontId="0" fillId="6" borderId="12" xfId="0" applyNumberFormat="1" applyFill="1" applyBorder="1" applyProtection="1">
      <protection locked="0"/>
    </xf>
    <xf numFmtId="0" fontId="2" fillId="3" borderId="1" xfId="0" applyFont="1" applyFill="1" applyBorder="1" applyAlignment="1" applyProtection="1">
      <alignment horizontal="left" wrapText="1" indent="2"/>
      <protection hidden="1"/>
    </xf>
    <xf numFmtId="41" fontId="0" fillId="6" borderId="1" xfId="0" applyNumberFormat="1" applyFill="1" applyBorder="1" applyProtection="1">
      <protection hidden="1"/>
    </xf>
    <xf numFmtId="41" fontId="0" fillId="6" borderId="1" xfId="0" applyNumberFormat="1" applyFill="1" applyBorder="1" applyProtection="1">
      <protection locked="0"/>
    </xf>
    <xf numFmtId="0" fontId="0" fillId="0" borderId="29" xfId="0" applyBorder="1" applyAlignment="1" applyProtection="1">
      <alignment horizontal="left" indent="3"/>
      <protection hidden="1"/>
    </xf>
    <xf numFmtId="41" fontId="3" fillId="4" borderId="1" xfId="2" applyNumberFormat="1" applyFont="1" applyFill="1" applyBorder="1" applyAlignment="1" applyProtection="1">
      <alignment horizontal="right" wrapText="1"/>
      <protection hidden="1"/>
    </xf>
    <xf numFmtId="41" fontId="0" fillId="6" borderId="45" xfId="0" applyNumberFormat="1" applyFill="1" applyBorder="1" applyProtection="1">
      <protection locked="0"/>
    </xf>
    <xf numFmtId="41" fontId="0" fillId="6" borderId="49" xfId="0" applyNumberFormat="1" applyFill="1" applyBorder="1" applyProtection="1">
      <protection locked="0"/>
    </xf>
    <xf numFmtId="41" fontId="0" fillId="6" borderId="46" xfId="0" applyNumberFormat="1" applyFill="1" applyBorder="1" applyProtection="1">
      <protection locked="0"/>
    </xf>
    <xf numFmtId="41" fontId="0" fillId="6" borderId="47" xfId="0" applyNumberFormat="1" applyFill="1" applyBorder="1" applyProtection="1">
      <protection locked="0"/>
    </xf>
    <xf numFmtId="41" fontId="0" fillId="6" borderId="43" xfId="0" applyNumberFormat="1" applyFill="1" applyBorder="1" applyProtection="1">
      <protection locked="0"/>
    </xf>
    <xf numFmtId="41" fontId="0" fillId="6" borderId="23" xfId="0" applyNumberFormat="1" applyFill="1" applyBorder="1" applyProtection="1">
      <protection locked="0"/>
    </xf>
    <xf numFmtId="41" fontId="0" fillId="0" borderId="41" xfId="0" applyNumberFormat="1" applyBorder="1" applyAlignment="1" applyProtection="1">
      <alignment horizontal="left" indent="3"/>
      <protection hidden="1"/>
    </xf>
    <xf numFmtId="0" fontId="0" fillId="0" borderId="0" xfId="0" applyProtection="1"/>
    <xf numFmtId="41" fontId="0" fillId="0" borderId="42" xfId="0" applyNumberFormat="1" applyBorder="1" applyAlignment="1" applyProtection="1">
      <alignment horizontal="left" indent="2"/>
      <protection hidden="1"/>
    </xf>
    <xf numFmtId="41" fontId="3" fillId="4" borderId="1" xfId="2" applyNumberFormat="1" applyFont="1" applyFill="1" applyBorder="1" applyAlignment="1" applyProtection="1">
      <alignment horizontal="right" vertical="center" wrapText="1"/>
      <protection hidden="1"/>
    </xf>
    <xf numFmtId="41" fontId="6" fillId="0" borderId="48" xfId="0" applyNumberFormat="1" applyFont="1" applyBorder="1" applyAlignment="1" applyProtection="1">
      <alignment horizontal="left" indent="2"/>
      <protection hidden="1"/>
    </xf>
    <xf numFmtId="41" fontId="0" fillId="0" borderId="1" xfId="0" applyNumberFormat="1" applyBorder="1" applyProtection="1">
      <protection hidden="1"/>
    </xf>
    <xf numFmtId="41" fontId="0" fillId="0" borderId="1" xfId="0" applyNumberFormat="1" applyBorder="1" applyAlignment="1" applyProtection="1">
      <alignment wrapText="1"/>
      <protection hidden="1"/>
    </xf>
    <xf numFmtId="41" fontId="0" fillId="0" borderId="1" xfId="0" applyNumberFormat="1" applyBorder="1" applyAlignment="1" applyProtection="1">
      <alignment horizontal="left" indent="2"/>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14" fontId="3" fillId="2" borderId="21" xfId="0" applyNumberFormat="1" applyFont="1" applyFill="1" applyBorder="1" applyAlignment="1" applyProtection="1">
      <alignment horizontal="center" vertical="center" wrapText="1"/>
      <protection hidden="1"/>
    </xf>
    <xf numFmtId="0" fontId="0" fillId="0" borderId="0" xfId="0" applyAlignment="1">
      <alignment horizontal="right"/>
    </xf>
    <xf numFmtId="0" fontId="1" fillId="0" borderId="0" xfId="0" applyFont="1"/>
    <xf numFmtId="0" fontId="0" fillId="0" borderId="0" xfId="0" applyNumberFormat="1" applyFont="1"/>
    <xf numFmtId="0" fontId="1" fillId="0" borderId="0" xfId="0" applyNumberFormat="1" applyFont="1"/>
    <xf numFmtId="0" fontId="0" fillId="0" borderId="0" xfId="0" applyNumberFormat="1"/>
    <xf numFmtId="0" fontId="15" fillId="0" borderId="0" xfId="0" applyFont="1"/>
    <xf numFmtId="0" fontId="2" fillId="0" borderId="0" xfId="0" applyFont="1"/>
    <xf numFmtId="0" fontId="0" fillId="0" borderId="50" xfId="0" applyFont="1" applyBorder="1" applyAlignment="1">
      <alignment vertical="top" wrapText="1"/>
    </xf>
    <xf numFmtId="0" fontId="0" fillId="0" borderId="0" xfId="0" applyFont="1" applyAlignment="1">
      <alignment vertical="top"/>
    </xf>
    <xf numFmtId="0" fontId="20" fillId="0" borderId="0" xfId="0" applyFont="1"/>
    <xf numFmtId="0" fontId="21" fillId="0" borderId="0" xfId="0" applyFont="1" applyProtection="1"/>
    <xf numFmtId="0" fontId="3" fillId="2" borderId="5" xfId="0" applyFont="1" applyFill="1" applyBorder="1" applyAlignment="1" applyProtection="1">
      <alignment horizontal="center" vertical="center" wrapText="1"/>
      <protection hidden="1"/>
    </xf>
    <xf numFmtId="0" fontId="3" fillId="2" borderId="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3" fillId="2" borderId="17"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41" fontId="2" fillId="3" borderId="7" xfId="0" applyNumberFormat="1" applyFont="1" applyFill="1" applyBorder="1" applyAlignment="1" applyProtection="1">
      <alignment horizontal="right" wrapText="1"/>
      <protection hidden="1"/>
    </xf>
    <xf numFmtId="41" fontId="2" fillId="5" borderId="8" xfId="1" applyNumberFormat="1" applyFont="1" applyFill="1" applyBorder="1" applyAlignment="1" applyProtection="1">
      <alignment horizontal="right" wrapText="1"/>
      <protection hidden="1"/>
    </xf>
    <xf numFmtId="41" fontId="2" fillId="5" borderId="17" xfId="1" applyNumberFormat="1" applyFont="1" applyFill="1" applyBorder="1" applyAlignment="1" applyProtection="1">
      <alignment horizontal="right" wrapText="1"/>
      <protection hidden="1"/>
    </xf>
    <xf numFmtId="0" fontId="2" fillId="3" borderId="8" xfId="0" applyFont="1" applyFill="1" applyBorder="1" applyAlignment="1" applyProtection="1">
      <alignment horizontal="left" wrapText="1"/>
      <protection hidden="1"/>
    </xf>
    <xf numFmtId="41" fontId="2" fillId="3" borderId="21" xfId="0" applyNumberFormat="1" applyFont="1" applyFill="1" applyBorder="1" applyAlignment="1" applyProtection="1">
      <alignment wrapText="1"/>
      <protection hidden="1"/>
    </xf>
    <xf numFmtId="41" fontId="2" fillId="3" borderId="1" xfId="0" applyNumberFormat="1" applyFont="1" applyFill="1" applyBorder="1" applyAlignment="1" applyProtection="1">
      <alignment horizontal="right" wrapText="1" indent="1"/>
      <protection hidden="1"/>
    </xf>
    <xf numFmtId="0" fontId="0" fillId="0" borderId="0" xfId="0" applyAlignment="1">
      <alignment wrapText="1"/>
    </xf>
    <xf numFmtId="0" fontId="0" fillId="0" borderId="0" xfId="0" applyBorder="1" applyAlignment="1">
      <alignment wrapText="1"/>
    </xf>
    <xf numFmtId="0" fontId="0" fillId="0" borderId="0" xfId="0" applyAlignment="1">
      <alignment horizontal="right" wrapText="1"/>
    </xf>
    <xf numFmtId="41" fontId="3" fillId="5" borderId="1" xfId="1" applyNumberFormat="1" applyFont="1" applyFill="1" applyBorder="1" applyAlignment="1" applyProtection="1">
      <alignment horizontal="right" vertical="center" wrapText="1"/>
      <protection hidden="1"/>
    </xf>
    <xf numFmtId="41" fontId="0" fillId="6" borderId="18" xfId="1" applyNumberFormat="1" applyFont="1" applyFill="1" applyBorder="1" applyAlignment="1" applyProtection="1">
      <alignment horizontal="right" wrapText="1"/>
      <protection locked="0"/>
    </xf>
    <xf numFmtId="0" fontId="0" fillId="0" borderId="0" xfId="0" applyAlignment="1" applyProtection="1">
      <alignment wrapText="1"/>
      <protection locked="0"/>
    </xf>
    <xf numFmtId="0" fontId="2" fillId="3" borderId="1" xfId="0" applyFont="1" applyFill="1" applyBorder="1" applyAlignment="1" applyProtection="1">
      <alignment horizontal="right" wrapText="1"/>
      <protection hidden="1"/>
    </xf>
    <xf numFmtId="41" fontId="0" fillId="6" borderId="4" xfId="1" applyNumberFormat="1" applyFont="1" applyFill="1" applyBorder="1" applyAlignment="1" applyProtection="1">
      <alignment horizontal="right" wrapText="1"/>
      <protection locked="0"/>
    </xf>
    <xf numFmtId="0" fontId="3" fillId="4" borderId="12" xfId="2" applyFont="1" applyFill="1" applyBorder="1" applyAlignment="1" applyProtection="1">
      <alignment horizontal="right" vertical="center" wrapText="1"/>
      <protection hidden="1"/>
    </xf>
    <xf numFmtId="41" fontId="2" fillId="5" borderId="12" xfId="1" applyNumberFormat="1" applyFont="1" applyFill="1" applyBorder="1" applyAlignment="1" applyProtection="1">
      <alignment horizontal="right" wrapText="1"/>
      <protection hidden="1"/>
    </xf>
    <xf numFmtId="41" fontId="0" fillId="6" borderId="1" xfId="1" applyNumberFormat="1" applyFont="1" applyFill="1" applyBorder="1" applyAlignment="1" applyProtection="1">
      <alignment wrapText="1"/>
      <protection locked="0"/>
    </xf>
    <xf numFmtId="41" fontId="0" fillId="6" borderId="2" xfId="1" applyNumberFormat="1" applyFont="1" applyFill="1" applyBorder="1" applyAlignment="1" applyProtection="1">
      <alignment horizontal="right" wrapText="1"/>
      <protection locked="0"/>
    </xf>
    <xf numFmtId="41" fontId="0" fillId="6" borderId="18" xfId="0" applyNumberFormat="1" applyFill="1" applyBorder="1" applyProtection="1">
      <protection locked="0"/>
    </xf>
    <xf numFmtId="41" fontId="0" fillId="6" borderId="30" xfId="0" applyNumberFormat="1" applyFill="1" applyBorder="1" applyAlignment="1" applyProtection="1">
      <alignment horizontal="left"/>
      <protection locked="0"/>
    </xf>
    <xf numFmtId="41" fontId="0" fillId="6" borderId="1" xfId="0" applyNumberFormat="1" applyFill="1" applyBorder="1" applyAlignment="1" applyProtection="1">
      <alignment horizontal="right"/>
      <protection locked="0"/>
    </xf>
    <xf numFmtId="41" fontId="0" fillId="6" borderId="27" xfId="0" applyNumberFormat="1" applyFill="1" applyBorder="1" applyAlignment="1" applyProtection="1">
      <alignment horizontal="right"/>
      <protection locked="0"/>
    </xf>
    <xf numFmtId="41" fontId="0" fillId="6" borderId="31" xfId="0" applyNumberFormat="1" applyFill="1" applyBorder="1" applyAlignment="1" applyProtection="1">
      <alignment horizontal="right"/>
      <protection locked="0"/>
    </xf>
    <xf numFmtId="41" fontId="0" fillId="6" borderId="48" xfId="0" applyNumberFormat="1" applyFill="1" applyBorder="1" applyAlignment="1" applyProtection="1">
      <alignment horizontal="right"/>
      <protection hidden="1"/>
    </xf>
    <xf numFmtId="41" fontId="0" fillId="6" borderId="44" xfId="0" applyNumberFormat="1" applyFill="1" applyBorder="1" applyAlignment="1" applyProtection="1">
      <alignment horizontal="right"/>
      <protection locked="0"/>
    </xf>
    <xf numFmtId="41" fontId="0" fillId="6" borderId="41" xfId="0" applyNumberFormat="1" applyFill="1" applyBorder="1" applyAlignment="1" applyProtection="1">
      <alignment horizontal="right"/>
      <protection locked="0"/>
    </xf>
    <xf numFmtId="41" fontId="0" fillId="6" borderId="43" xfId="0" applyNumberFormat="1" applyFill="1" applyBorder="1" applyAlignment="1" applyProtection="1">
      <alignment horizontal="right"/>
      <protection hidden="1"/>
    </xf>
    <xf numFmtId="41" fontId="0" fillId="0" borderId="41" xfId="0" applyNumberFormat="1" applyBorder="1" applyAlignment="1" applyProtection="1">
      <alignment horizontal="left" wrapText="1" indent="3"/>
      <protection hidden="1"/>
    </xf>
    <xf numFmtId="41" fontId="2" fillId="5" borderId="7" xfId="0" applyNumberFormat="1" applyFont="1" applyFill="1" applyBorder="1" applyAlignment="1" applyProtection="1">
      <alignment horizontal="right" wrapText="1"/>
      <protection hidden="1"/>
    </xf>
    <xf numFmtId="0" fontId="2" fillId="0" borderId="0" xfId="0" applyFont="1" applyAlignment="1">
      <alignment vertical="center" wrapText="1"/>
    </xf>
    <xf numFmtId="3" fontId="0" fillId="0" borderId="0" xfId="0" applyNumberFormat="1" applyFont="1" applyAlignment="1">
      <alignment horizontal="right" vertical="center" wrapText="1"/>
    </xf>
    <xf numFmtId="3" fontId="0" fillId="0" borderId="0" xfId="0" applyNumberFormat="1" applyFont="1" applyBorder="1" applyAlignment="1">
      <alignment horizontal="right" vertical="center" wrapText="1"/>
    </xf>
    <xf numFmtId="0" fontId="2" fillId="0" borderId="12" xfId="0" applyFont="1" applyBorder="1" applyAlignment="1">
      <alignment vertical="center" wrapText="1"/>
    </xf>
    <xf numFmtId="41" fontId="0" fillId="0" borderId="18" xfId="0" applyNumberFormat="1" applyBorder="1" applyAlignment="1" applyProtection="1">
      <alignment horizontal="left" indent="2"/>
      <protection hidden="1"/>
    </xf>
    <xf numFmtId="41" fontId="0" fillId="6" borderId="18" xfId="0" applyNumberFormat="1" applyFill="1" applyBorder="1" applyAlignment="1" applyProtection="1">
      <alignment horizontal="right"/>
      <protection locked="0"/>
    </xf>
    <xf numFmtId="41" fontId="0" fillId="6" borderId="18" xfId="0" applyNumberFormat="1" applyFill="1" applyBorder="1" applyAlignment="1" applyProtection="1">
      <alignment horizontal="right"/>
      <protection hidden="1"/>
    </xf>
    <xf numFmtId="41" fontId="0" fillId="0" borderId="3" xfId="0" applyNumberFormat="1" applyBorder="1" applyAlignment="1" applyProtection="1">
      <alignment horizontal="left" indent="2"/>
      <protection hidden="1"/>
    </xf>
    <xf numFmtId="41" fontId="0" fillId="6" borderId="3" xfId="0" applyNumberFormat="1" applyFill="1" applyBorder="1" applyAlignment="1" applyProtection="1">
      <alignment horizontal="right"/>
      <protection locked="0"/>
    </xf>
    <xf numFmtId="41" fontId="0" fillId="6" borderId="3" xfId="0" applyNumberFormat="1" applyFill="1" applyBorder="1" applyAlignment="1" applyProtection="1">
      <alignment horizontal="right"/>
      <protection hidden="1"/>
    </xf>
    <xf numFmtId="41" fontId="0" fillId="0" borderId="16" xfId="0" applyNumberFormat="1" applyBorder="1" applyAlignment="1" applyProtection="1">
      <alignment horizontal="left" indent="2"/>
      <protection hidden="1"/>
    </xf>
    <xf numFmtId="41" fontId="0" fillId="6" borderId="16" xfId="0" applyNumberFormat="1" applyFill="1" applyBorder="1" applyAlignment="1" applyProtection="1">
      <alignment horizontal="right"/>
      <protection locked="0"/>
    </xf>
    <xf numFmtId="41" fontId="0" fillId="6" borderId="16" xfId="0" applyNumberFormat="1" applyFill="1" applyBorder="1" applyAlignment="1" applyProtection="1">
      <alignment horizontal="right"/>
      <protection hidden="1"/>
    </xf>
    <xf numFmtId="41" fontId="2" fillId="0" borderId="1" xfId="0" applyNumberFormat="1" applyFont="1" applyFill="1" applyBorder="1" applyAlignment="1" applyProtection="1">
      <alignment horizontal="right" wrapText="1"/>
      <protection hidden="1"/>
    </xf>
    <xf numFmtId="49" fontId="3" fillId="2" borderId="1" xfId="0" applyNumberFormat="1" applyFont="1" applyFill="1" applyBorder="1" applyAlignment="1" applyProtection="1">
      <alignment horizontal="center" vertical="center" wrapText="1"/>
      <protection hidden="1"/>
    </xf>
    <xf numFmtId="0" fontId="3" fillId="6" borderId="5" xfId="0" applyFont="1" applyFill="1" applyBorder="1" applyAlignment="1" applyProtection="1">
      <alignment horizontal="center" vertical="center" wrapText="1"/>
      <protection hidden="1"/>
    </xf>
    <xf numFmtId="0" fontId="0" fillId="0" borderId="28" xfId="0" applyBorder="1" applyAlignment="1" applyProtection="1">
      <alignment horizontal="left" indent="1"/>
      <protection hidden="1"/>
    </xf>
    <xf numFmtId="41" fontId="0" fillId="6" borderId="29" xfId="1" applyNumberFormat="1" applyFont="1" applyFill="1" applyBorder="1" applyProtection="1">
      <protection locked="0"/>
    </xf>
    <xf numFmtId="0" fontId="0" fillId="0" borderId="18" xfId="0" applyFill="1" applyBorder="1" applyAlignment="1" applyProtection="1">
      <alignment horizontal="left" indent="2"/>
      <protection hidden="1"/>
    </xf>
    <xf numFmtId="41" fontId="0" fillId="6" borderId="18" xfId="1" applyNumberFormat="1" applyFont="1" applyFill="1" applyBorder="1" applyProtection="1">
      <protection locked="0"/>
    </xf>
    <xf numFmtId="41" fontId="0" fillId="6" borderId="18" xfId="0" applyNumberFormat="1" applyFill="1" applyBorder="1" applyProtection="1">
      <protection hidden="1"/>
    </xf>
    <xf numFmtId="0" fontId="0" fillId="0" borderId="3" xfId="0" applyFill="1" applyBorder="1" applyAlignment="1" applyProtection="1">
      <alignment horizontal="left" wrapText="1" indent="2"/>
      <protection hidden="1"/>
    </xf>
    <xf numFmtId="41" fontId="0" fillId="6" borderId="3" xfId="0" applyNumberFormat="1" applyFill="1" applyBorder="1" applyProtection="1">
      <protection locked="0"/>
    </xf>
    <xf numFmtId="41" fontId="0" fillId="6" borderId="3" xfId="0" applyNumberFormat="1" applyFill="1" applyBorder="1" applyProtection="1">
      <protection hidden="1"/>
    </xf>
    <xf numFmtId="0" fontId="0" fillId="0" borderId="4" xfId="0" applyFill="1" applyBorder="1" applyAlignment="1" applyProtection="1">
      <alignment horizontal="left" wrapText="1" indent="2"/>
      <protection hidden="1"/>
    </xf>
    <xf numFmtId="41" fontId="0" fillId="6" borderId="4" xfId="0" applyNumberFormat="1" applyFill="1" applyBorder="1" applyProtection="1">
      <protection locked="0"/>
    </xf>
    <xf numFmtId="41" fontId="0" fillId="6" borderId="4" xfId="0" applyNumberFormat="1" applyFill="1" applyBorder="1" applyProtection="1">
      <protection hidden="1"/>
    </xf>
    <xf numFmtId="0" fontId="0" fillId="0" borderId="36" xfId="0" applyBorder="1" applyAlignment="1" applyProtection="1">
      <alignment horizontal="left" wrapText="1" indent="2"/>
      <protection hidden="1"/>
    </xf>
    <xf numFmtId="49" fontId="3" fillId="2" borderId="21" xfId="0" applyNumberFormat="1" applyFont="1" applyFill="1" applyBorder="1" applyAlignment="1" applyProtection="1">
      <alignment horizontal="center" vertical="center" wrapText="1"/>
      <protection hidden="1"/>
    </xf>
    <xf numFmtId="41" fontId="0" fillId="6" borderId="16" xfId="0" applyNumberFormat="1" applyFill="1" applyBorder="1" applyProtection="1">
      <protection locked="0"/>
    </xf>
    <xf numFmtId="41" fontId="6" fillId="0" borderId="41" xfId="0" applyNumberFormat="1" applyFont="1" applyFill="1" applyBorder="1" applyAlignment="1" applyProtection="1">
      <alignment horizontal="left" indent="2"/>
      <protection hidden="1"/>
    </xf>
    <xf numFmtId="41" fontId="0" fillId="0" borderId="41" xfId="0" applyNumberFormat="1" applyFill="1" applyBorder="1" applyProtection="1">
      <protection locked="0"/>
    </xf>
    <xf numFmtId="41" fontId="0" fillId="0" borderId="41" xfId="0" applyNumberFormat="1" applyFill="1" applyBorder="1" applyProtection="1">
      <protection hidden="1"/>
    </xf>
    <xf numFmtId="41" fontId="0" fillId="0" borderId="43" xfId="0" applyNumberFormat="1" applyFill="1" applyBorder="1" applyProtection="1">
      <protection locked="0"/>
    </xf>
    <xf numFmtId="41" fontId="0" fillId="0" borderId="0" xfId="0" applyNumberFormat="1" applyAlignment="1">
      <alignment wrapText="1"/>
    </xf>
    <xf numFmtId="0" fontId="0" fillId="0" borderId="18" xfId="0" applyFont="1" applyBorder="1" applyAlignment="1">
      <alignment horizontal="left" vertical="center" indent="1"/>
    </xf>
    <xf numFmtId="3" fontId="0" fillId="0" borderId="0" xfId="0" applyNumberFormat="1" applyFont="1"/>
    <xf numFmtId="0" fontId="0" fillId="0" borderId="16" xfId="0" applyFont="1" applyBorder="1" applyAlignment="1">
      <alignment horizontal="left" vertical="center" indent="1"/>
    </xf>
    <xf numFmtId="0" fontId="7" fillId="0" borderId="18" xfId="0" applyFont="1" applyBorder="1" applyAlignment="1">
      <alignment horizontal="center" vertical="center" wrapText="1"/>
    </xf>
    <xf numFmtId="43" fontId="7" fillId="0" borderId="18" xfId="0" applyNumberFormat="1" applyFont="1" applyBorder="1" applyAlignment="1">
      <alignment horizontal="center" vertical="center" wrapText="1"/>
    </xf>
    <xf numFmtId="43" fontId="7" fillId="0" borderId="18" xfId="0" applyNumberFormat="1" applyFont="1" applyBorder="1" applyAlignment="1">
      <alignment vertical="center" wrapText="1"/>
    </xf>
    <xf numFmtId="43" fontId="7" fillId="0" borderId="3" xfId="0" applyNumberFormat="1" applyFont="1" applyBorder="1" applyAlignment="1">
      <alignment horizontal="center" vertical="center" wrapText="1"/>
    </xf>
    <xf numFmtId="43" fontId="7" fillId="0" borderId="3" xfId="0" applyNumberFormat="1" applyFont="1" applyBorder="1" applyAlignment="1">
      <alignment vertical="center" wrapText="1"/>
    </xf>
    <xf numFmtId="43" fontId="7" fillId="0" borderId="16" xfId="0" applyNumberFormat="1" applyFont="1" applyBorder="1" applyAlignment="1">
      <alignment horizontal="center" vertical="center" wrapText="1"/>
    </xf>
    <xf numFmtId="43" fontId="7" fillId="0" borderId="16" xfId="0" applyNumberFormat="1" applyFont="1" applyBorder="1" applyAlignment="1">
      <alignment vertical="center" wrapText="1"/>
    </xf>
    <xf numFmtId="0" fontId="7" fillId="2" borderId="8" xfId="0" applyFont="1" applyFill="1" applyBorder="1" applyAlignment="1">
      <alignment horizontal="center" vertical="center" wrapText="1"/>
    </xf>
    <xf numFmtId="0" fontId="0" fillId="0" borderId="0" xfId="0" applyFont="1" applyProtection="1">
      <protection locked="0"/>
    </xf>
    <xf numFmtId="0" fontId="0" fillId="0" borderId="2" xfId="0" applyBorder="1" applyAlignment="1" applyProtection="1">
      <alignment horizontal="left" indent="1"/>
      <protection hidden="1"/>
    </xf>
    <xf numFmtId="43" fontId="2" fillId="3" borderId="12" xfId="0" applyNumberFormat="1" applyFont="1" applyFill="1" applyBorder="1" applyAlignment="1" applyProtection="1">
      <alignment horizontal="left" wrapText="1" indent="1"/>
      <protection hidden="1"/>
    </xf>
    <xf numFmtId="0" fontId="0" fillId="0" borderId="18" xfId="0" applyFont="1" applyBorder="1" applyAlignment="1">
      <alignment horizontal="left" vertical="center" wrapText="1" indent="1"/>
    </xf>
    <xf numFmtId="0" fontId="0" fillId="0" borderId="16" xfId="0" applyFont="1" applyBorder="1" applyAlignment="1">
      <alignment horizontal="left" vertical="center" wrapText="1" indent="1"/>
    </xf>
    <xf numFmtId="0" fontId="2" fillId="2" borderId="12" xfId="0" applyFont="1" applyFill="1" applyBorder="1" applyAlignment="1">
      <alignment horizontal="center" vertical="center" wrapText="1"/>
    </xf>
    <xf numFmtId="0" fontId="9" fillId="2" borderId="12" xfId="0" applyFont="1" applyFill="1" applyBorder="1" applyAlignment="1">
      <alignment horizontal="center" vertical="center" wrapText="1"/>
    </xf>
    <xf numFmtId="43" fontId="0" fillId="0" borderId="12" xfId="0" applyNumberFormat="1" applyFont="1" applyBorder="1" applyAlignment="1">
      <alignment horizontal="right" vertical="center" wrapText="1"/>
    </xf>
    <xf numFmtId="43" fontId="0" fillId="0" borderId="2" xfId="1" applyNumberFormat="1" applyFont="1" applyFill="1" applyBorder="1" applyAlignment="1">
      <alignment horizontal="right"/>
    </xf>
    <xf numFmtId="43" fontId="0" fillId="0" borderId="2" xfId="0" applyNumberFormat="1" applyFill="1" applyBorder="1" applyAlignment="1">
      <alignment horizontal="right"/>
    </xf>
    <xf numFmtId="43" fontId="0" fillId="0" borderId="3" xfId="1" applyNumberFormat="1" applyFont="1" applyFill="1" applyBorder="1" applyAlignment="1">
      <alignment horizontal="right"/>
    </xf>
    <xf numFmtId="43" fontId="0" fillId="0" borderId="4" xfId="1" applyNumberFormat="1" applyFont="1" applyFill="1" applyBorder="1" applyAlignment="1">
      <alignment horizontal="right"/>
    </xf>
    <xf numFmtId="0" fontId="0" fillId="0" borderId="5" xfId="0" applyBorder="1"/>
    <xf numFmtId="0" fontId="0" fillId="0" borderId="6" xfId="0" applyBorder="1"/>
    <xf numFmtId="41" fontId="0" fillId="0" borderId="1" xfId="0" applyNumberFormat="1" applyFill="1" applyBorder="1" applyProtection="1">
      <protection locked="0"/>
    </xf>
    <xf numFmtId="41" fontId="0" fillId="0" borderId="1" xfId="0" applyNumberFormat="1" applyFill="1" applyBorder="1" applyProtection="1">
      <protection hidden="1"/>
    </xf>
    <xf numFmtId="41" fontId="2" fillId="3" borderId="5" xfId="0" applyNumberFormat="1" applyFont="1" applyFill="1" applyBorder="1" applyAlignment="1" applyProtection="1">
      <alignment wrapText="1"/>
      <protection hidden="1"/>
    </xf>
    <xf numFmtId="41" fontId="2" fillId="3" borderId="6" xfId="0" applyNumberFormat="1" applyFont="1" applyFill="1" applyBorder="1" applyAlignment="1" applyProtection="1">
      <alignment wrapText="1"/>
      <protection hidden="1"/>
    </xf>
    <xf numFmtId="41" fontId="2" fillId="3" borderId="7" xfId="0" applyNumberFormat="1" applyFont="1" applyFill="1" applyBorder="1" applyAlignment="1" applyProtection="1">
      <alignment wrapText="1"/>
      <protection hidden="1"/>
    </xf>
    <xf numFmtId="0" fontId="0" fillId="0" borderId="18" xfId="0" applyBorder="1" applyAlignment="1" applyProtection="1">
      <alignment horizontal="left" wrapText="1" indent="1"/>
      <protection hidden="1"/>
    </xf>
    <xf numFmtId="0" fontId="0" fillId="0" borderId="3" xfId="0" applyBorder="1" applyAlignment="1" applyProtection="1">
      <alignment horizontal="left" wrapText="1" indent="1"/>
      <protection hidden="1"/>
    </xf>
    <xf numFmtId="0" fontId="0" fillId="0" borderId="4" xfId="0" applyBorder="1" applyAlignment="1" applyProtection="1">
      <alignment horizontal="left" wrapText="1" indent="1"/>
      <protection hidden="1"/>
    </xf>
    <xf numFmtId="0" fontId="0" fillId="0" borderId="1" xfId="0" applyBorder="1" applyAlignment="1" applyProtection="1">
      <alignment horizontal="left" wrapText="1" indent="1"/>
      <protection hidden="1"/>
    </xf>
    <xf numFmtId="0" fontId="0" fillId="0" borderId="16" xfId="0" applyBorder="1" applyAlignment="1" applyProtection="1">
      <alignment horizontal="left" wrapText="1" indent="1"/>
      <protection hidden="1"/>
    </xf>
    <xf numFmtId="0" fontId="3" fillId="4" borderId="1" xfId="2" applyFont="1" applyFill="1" applyBorder="1" applyAlignment="1" applyProtection="1">
      <alignment horizontal="left" wrapText="1" indent="1"/>
      <protection hidden="1"/>
    </xf>
    <xf numFmtId="0" fontId="19" fillId="0" borderId="2" xfId="4" applyNumberFormat="1" applyFont="1" applyFill="1" applyBorder="1" applyAlignment="1" applyProtection="1">
      <alignment horizontal="left" wrapText="1" indent="2"/>
      <protection hidden="1"/>
    </xf>
    <xf numFmtId="0" fontId="19" fillId="0" borderId="3" xfId="4" applyNumberFormat="1" applyFont="1" applyFill="1" applyBorder="1" applyAlignment="1" applyProtection="1">
      <alignment horizontal="left" wrapText="1" indent="2"/>
      <protection hidden="1"/>
    </xf>
    <xf numFmtId="0" fontId="19" fillId="0" borderId="4" xfId="4" applyNumberFormat="1" applyFont="1" applyFill="1" applyBorder="1" applyAlignment="1" applyProtection="1">
      <alignment horizontal="left" wrapText="1" indent="2"/>
      <protection hidden="1"/>
    </xf>
    <xf numFmtId="0" fontId="0" fillId="0" borderId="2" xfId="0" applyBorder="1" applyAlignment="1" applyProtection="1">
      <alignment horizontal="left" wrapText="1" indent="2"/>
      <protection hidden="1"/>
    </xf>
    <xf numFmtId="0" fontId="0" fillId="0" borderId="3" xfId="0" applyBorder="1" applyAlignment="1" applyProtection="1">
      <alignment horizontal="left" wrapText="1" indent="2"/>
      <protection hidden="1"/>
    </xf>
    <xf numFmtId="0" fontId="0" fillId="0" borderId="4" xfId="0" applyBorder="1" applyAlignment="1" applyProtection="1">
      <alignment horizontal="left" wrapText="1" indent="2"/>
      <protection hidden="1"/>
    </xf>
    <xf numFmtId="0" fontId="0" fillId="0" borderId="12" xfId="0" applyBorder="1" applyAlignment="1" applyProtection="1">
      <alignment horizontal="left" wrapText="1" indent="1"/>
      <protection hidden="1"/>
    </xf>
    <xf numFmtId="0" fontId="0" fillId="0" borderId="22" xfId="0" applyBorder="1" applyAlignment="1" applyProtection="1">
      <alignment horizontal="left" wrapText="1" indent="1"/>
      <protection hidden="1"/>
    </xf>
    <xf numFmtId="0" fontId="0" fillId="0" borderId="36" xfId="0" applyBorder="1" applyAlignment="1" applyProtection="1">
      <alignment horizontal="left" wrapText="1" indent="1"/>
      <protection hidden="1"/>
    </xf>
    <xf numFmtId="0" fontId="0" fillId="0" borderId="38" xfId="0" applyBorder="1" applyAlignment="1" applyProtection="1">
      <alignment horizontal="left" wrapText="1" indent="1"/>
      <protection hidden="1"/>
    </xf>
    <xf numFmtId="49" fontId="3" fillId="2" borderId="7" xfId="0" applyNumberFormat="1" applyFont="1" applyFill="1" applyBorder="1" applyAlignment="1" applyProtection="1">
      <alignment horizontal="center" vertical="center" wrapText="1"/>
      <protection hidden="1"/>
    </xf>
    <xf numFmtId="41" fontId="0" fillId="0" borderId="42" xfId="0" applyNumberFormat="1" applyBorder="1" applyAlignment="1" applyProtection="1">
      <alignment horizontal="left" indent="3"/>
      <protection locked="0"/>
    </xf>
    <xf numFmtId="41" fontId="0" fillId="0" borderId="41" xfId="0" applyNumberFormat="1" applyBorder="1" applyAlignment="1" applyProtection="1">
      <alignment horizontal="left" indent="3"/>
      <protection locked="0"/>
    </xf>
    <xf numFmtId="41" fontId="0" fillId="0" borderId="41" xfId="0" applyNumberFormat="1" applyBorder="1" applyAlignment="1" applyProtection="1">
      <alignment horizontal="left" indent="4"/>
      <protection locked="0"/>
    </xf>
    <xf numFmtId="41" fontId="0" fillId="0" borderId="41" xfId="0" applyNumberFormat="1" applyBorder="1" applyAlignment="1" applyProtection="1">
      <alignment horizontal="left" indent="2"/>
      <protection locked="0"/>
    </xf>
    <xf numFmtId="41" fontId="3" fillId="4" borderId="1" xfId="2" applyNumberFormat="1" applyFont="1" applyFill="1" applyBorder="1" applyAlignment="1" applyProtection="1">
      <alignment horizontal="right" wrapText="1"/>
      <protection locked="0"/>
    </xf>
    <xf numFmtId="41" fontId="2" fillId="3" borderId="1" xfId="0" applyNumberFormat="1" applyFont="1" applyFill="1" applyBorder="1" applyAlignment="1" applyProtection="1">
      <alignment horizontal="left" wrapText="1" indent="2"/>
      <protection locked="0"/>
    </xf>
    <xf numFmtId="41" fontId="0" fillId="0" borderId="39" xfId="0" applyNumberFormat="1" applyFill="1" applyBorder="1" applyAlignment="1" applyProtection="1">
      <alignment horizontal="left" indent="3"/>
      <protection locked="0"/>
    </xf>
    <xf numFmtId="41" fontId="0" fillId="0" borderId="37" xfId="0" applyNumberFormat="1" applyFill="1" applyBorder="1" applyAlignment="1" applyProtection="1">
      <alignment horizontal="left" indent="3"/>
      <protection locked="0"/>
    </xf>
    <xf numFmtId="41" fontId="0" fillId="0" borderId="42" xfId="0" applyNumberFormat="1" applyFill="1" applyBorder="1" applyAlignment="1" applyProtection="1">
      <alignment horizontal="left" indent="3"/>
      <protection locked="0"/>
    </xf>
    <xf numFmtId="41" fontId="0" fillId="0" borderId="41" xfId="0" applyNumberFormat="1" applyFill="1" applyBorder="1" applyAlignment="1" applyProtection="1">
      <alignment horizontal="left" indent="3"/>
      <protection locked="0"/>
    </xf>
    <xf numFmtId="41" fontId="0" fillId="0" borderId="48" xfId="0" applyNumberFormat="1" applyFill="1" applyBorder="1" applyAlignment="1" applyProtection="1">
      <alignment horizontal="left" indent="3"/>
      <protection locked="0"/>
    </xf>
    <xf numFmtId="41" fontId="0" fillId="0" borderId="48" xfId="0" applyNumberFormat="1" applyFill="1" applyBorder="1" applyProtection="1">
      <protection locked="0"/>
    </xf>
    <xf numFmtId="41" fontId="0" fillId="0" borderId="47" xfId="0" applyNumberFormat="1" applyFill="1" applyBorder="1" applyProtection="1">
      <protection locked="0"/>
    </xf>
    <xf numFmtId="41" fontId="2" fillId="3" borderId="1" xfId="0" applyNumberFormat="1" applyFont="1" applyFill="1" applyBorder="1" applyAlignment="1" applyProtection="1">
      <alignment horizontal="left" wrapText="1" indent="21"/>
      <protection locked="0"/>
    </xf>
    <xf numFmtId="41" fontId="3" fillId="4" borderId="1" xfId="2" applyNumberFormat="1" applyFont="1" applyFill="1" applyBorder="1" applyAlignment="1" applyProtection="1">
      <alignment horizontal="left" wrapText="1" indent="2"/>
      <protection locked="0"/>
    </xf>
    <xf numFmtId="41" fontId="0" fillId="0" borderId="1" xfId="0" applyNumberFormat="1" applyFont="1" applyFill="1" applyBorder="1" applyAlignment="1" applyProtection="1">
      <alignment horizontal="left" indent="3"/>
      <protection locked="0"/>
    </xf>
    <xf numFmtId="41" fontId="2" fillId="3" borderId="1" xfId="0" applyNumberFormat="1" applyFont="1" applyFill="1" applyBorder="1" applyAlignment="1" applyProtection="1">
      <alignment horizontal="left" wrapText="1" indent="1"/>
      <protection locked="0"/>
    </xf>
    <xf numFmtId="41" fontId="0" fillId="0" borderId="36" xfId="0" applyNumberFormat="1" applyFill="1" applyBorder="1" applyAlignment="1" applyProtection="1">
      <alignment horizontal="left" indent="3"/>
      <protection locked="0"/>
    </xf>
    <xf numFmtId="41" fontId="0" fillId="0" borderId="38" xfId="0" applyNumberFormat="1" applyFill="1" applyBorder="1" applyAlignment="1" applyProtection="1">
      <alignment horizontal="left" indent="3"/>
      <protection locked="0"/>
    </xf>
    <xf numFmtId="41" fontId="2" fillId="3" borderId="1" xfId="0" applyNumberFormat="1" applyFont="1" applyFill="1" applyBorder="1" applyAlignment="1" applyProtection="1">
      <alignment horizontal="left" wrapText="1" indent="8"/>
      <protection locked="0"/>
    </xf>
    <xf numFmtId="41" fontId="0" fillId="0" borderId="22" xfId="0" applyNumberFormat="1" applyFill="1" applyBorder="1" applyAlignment="1" applyProtection="1">
      <alignment horizontal="left" indent="3"/>
      <protection locked="0"/>
    </xf>
    <xf numFmtId="41" fontId="0" fillId="6" borderId="5" xfId="0" applyNumberFormat="1" applyFill="1" applyBorder="1" applyAlignment="1" applyProtection="1">
      <alignment horizontal="left" indent="3"/>
      <protection locked="0"/>
    </xf>
    <xf numFmtId="41" fontId="2" fillId="3" borderId="1" xfId="0" applyNumberFormat="1" applyFont="1" applyFill="1" applyBorder="1" applyAlignment="1" applyProtection="1">
      <alignment horizontal="left" wrapText="1" indent="3"/>
      <protection locked="0"/>
    </xf>
    <xf numFmtId="41" fontId="0" fillId="0" borderId="28" xfId="0" applyNumberFormat="1" applyFill="1" applyBorder="1" applyAlignment="1" applyProtection="1">
      <alignment horizontal="left" indent="4"/>
      <protection locked="0"/>
    </xf>
    <xf numFmtId="0" fontId="14" fillId="2" borderId="1" xfId="0" applyFont="1" applyFill="1" applyBorder="1" applyAlignment="1" applyProtection="1">
      <alignment horizontal="center" vertical="center"/>
    </xf>
    <xf numFmtId="0" fontId="14" fillId="2" borderId="1" xfId="0" applyFont="1" applyFill="1" applyBorder="1" applyAlignment="1" applyProtection="1">
      <alignment vertical="center"/>
      <protection hidden="1"/>
    </xf>
    <xf numFmtId="0" fontId="0" fillId="0" borderId="0" xfId="0" applyFill="1" applyBorder="1"/>
    <xf numFmtId="0" fontId="6" fillId="0" borderId="34" xfId="0" applyFont="1" applyFill="1" applyBorder="1" applyAlignment="1" applyProtection="1">
      <alignment horizontal="left" vertical="center" wrapText="1"/>
      <protection locked="0"/>
    </xf>
    <xf numFmtId="49" fontId="6" fillId="6" borderId="34" xfId="0" applyNumberFormat="1" applyFont="1" applyFill="1" applyBorder="1" applyAlignment="1" applyProtection="1">
      <alignment horizontal="right" vertical="center" wrapText="1"/>
      <protection locked="0"/>
    </xf>
    <xf numFmtId="0" fontId="6" fillId="0" borderId="35" xfId="0" applyFont="1" applyFill="1" applyBorder="1" applyAlignment="1" applyProtection="1">
      <alignment horizontal="left" vertical="center" indent="2"/>
    </xf>
    <xf numFmtId="0" fontId="6" fillId="0" borderId="35" xfId="0" applyFont="1" applyFill="1" applyBorder="1" applyAlignment="1" applyProtection="1">
      <alignment horizontal="left" vertical="center" wrapText="1"/>
      <protection locked="0"/>
    </xf>
    <xf numFmtId="49" fontId="6" fillId="6" borderId="35" xfId="0" applyNumberFormat="1" applyFont="1" applyFill="1" applyBorder="1" applyAlignment="1" applyProtection="1">
      <alignment horizontal="right" vertical="center" wrapText="1"/>
      <protection locked="0"/>
    </xf>
    <xf numFmtId="41" fontId="6" fillId="6" borderId="35" xfId="0" applyNumberFormat="1" applyFont="1" applyFill="1" applyBorder="1" applyAlignment="1" applyProtection="1">
      <alignment horizontal="right" vertical="center" wrapText="1"/>
      <protection locked="0"/>
    </xf>
    <xf numFmtId="0" fontId="6" fillId="0" borderId="33" xfId="0" applyFont="1" applyFill="1" applyBorder="1" applyAlignment="1" applyProtection="1">
      <alignment horizontal="left" vertical="center" wrapText="1"/>
      <protection locked="0"/>
    </xf>
    <xf numFmtId="41" fontId="6" fillId="6" borderId="33" xfId="0" applyNumberFormat="1" applyFont="1" applyFill="1" applyBorder="1" applyAlignment="1" applyProtection="1">
      <alignment horizontal="right" vertical="center" wrapText="1"/>
      <protection locked="0"/>
    </xf>
    <xf numFmtId="0" fontId="16" fillId="2" borderId="1" xfId="3" applyFill="1" applyBorder="1" applyAlignment="1" applyProtection="1">
      <alignment horizontal="center" vertical="center"/>
    </xf>
    <xf numFmtId="49" fontId="6" fillId="0" borderId="34" xfId="0" applyNumberFormat="1" applyFont="1" applyFill="1" applyBorder="1" applyAlignment="1" applyProtection="1">
      <alignment horizontal="right" vertical="center" wrapText="1"/>
      <protection locked="0"/>
    </xf>
    <xf numFmtId="49" fontId="6" fillId="0" borderId="35" xfId="0" applyNumberFormat="1" applyFont="1" applyFill="1" applyBorder="1" applyAlignment="1" applyProtection="1">
      <alignment horizontal="right" vertical="center" wrapText="1"/>
      <protection locked="0"/>
    </xf>
    <xf numFmtId="41" fontId="6" fillId="0" borderId="35" xfId="0" applyNumberFormat="1" applyFont="1" applyFill="1" applyBorder="1" applyAlignment="1" applyProtection="1">
      <alignment horizontal="right" vertical="center" wrapText="1"/>
      <protection locked="0"/>
    </xf>
    <xf numFmtId="41" fontId="6" fillId="0" borderId="33" xfId="0" applyNumberFormat="1" applyFont="1" applyFill="1" applyBorder="1" applyAlignment="1" applyProtection="1">
      <alignment horizontal="right" vertical="center" wrapText="1"/>
      <protection locked="0"/>
    </xf>
    <xf numFmtId="49" fontId="0" fillId="6" borderId="34" xfId="0" applyNumberFormat="1" applyFill="1" applyBorder="1" applyAlignment="1" applyProtection="1">
      <alignment horizontal="center" vertical="center"/>
      <protection locked="0"/>
    </xf>
    <xf numFmtId="41" fontId="0" fillId="6" borderId="35" xfId="5" applyNumberFormat="1" applyFont="1" applyFill="1" applyBorder="1" applyAlignment="1" applyProtection="1">
      <alignment vertical="center"/>
      <protection locked="0"/>
    </xf>
    <xf numFmtId="49" fontId="0" fillId="6" borderId="33" xfId="0" applyNumberFormat="1" applyFill="1" applyBorder="1" applyAlignment="1" applyProtection="1">
      <alignment horizontal="center" vertical="center"/>
      <protection locked="0"/>
    </xf>
    <xf numFmtId="3" fontId="0" fillId="0" borderId="16" xfId="0" applyNumberFormat="1" applyFont="1" applyBorder="1" applyAlignment="1">
      <alignment horizontal="right" vertical="center" wrapText="1"/>
    </xf>
    <xf numFmtId="0" fontId="0" fillId="0" borderId="1" xfId="0" applyFont="1" applyBorder="1" applyAlignment="1">
      <alignment vertical="center" wrapText="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22" fillId="9" borderId="0" xfId="0" applyFont="1" applyFill="1" applyAlignment="1">
      <alignment horizontal="center" vertical="center"/>
    </xf>
    <xf numFmtId="0" fontId="22" fillId="10" borderId="0" xfId="0" applyFont="1" applyFill="1" applyAlignment="1"/>
    <xf numFmtId="0" fontId="0" fillId="0" borderId="0" xfId="0" applyFont="1" applyBorder="1"/>
    <xf numFmtId="0" fontId="0" fillId="0" borderId="54" xfId="0" applyFill="1" applyBorder="1"/>
    <xf numFmtId="0" fontId="0" fillId="0" borderId="55" xfId="0" quotePrefix="1" applyFill="1" applyBorder="1" applyAlignment="1">
      <alignment horizontal="right"/>
    </xf>
    <xf numFmtId="0" fontId="0" fillId="0" borderId="56" xfId="0" quotePrefix="1" applyFill="1" applyBorder="1" applyAlignment="1">
      <alignment horizontal="right"/>
    </xf>
    <xf numFmtId="0" fontId="16" fillId="0" borderId="57" xfId="3" applyBorder="1" applyAlignment="1" applyProtection="1"/>
    <xf numFmtId="0" fontId="0" fillId="0" borderId="58" xfId="0" applyBorder="1" applyAlignment="1">
      <alignment horizontal="right"/>
    </xf>
    <xf numFmtId="0" fontId="0" fillId="0" borderId="59" xfId="0" applyBorder="1" applyAlignment="1">
      <alignment horizontal="right"/>
    </xf>
    <xf numFmtId="0" fontId="0" fillId="0" borderId="58" xfId="0" quotePrefix="1" applyBorder="1" applyAlignment="1">
      <alignment horizontal="right"/>
    </xf>
    <xf numFmtId="0" fontId="0" fillId="0" borderId="59" xfId="0" quotePrefix="1" applyBorder="1" applyAlignment="1">
      <alignment horizontal="right"/>
    </xf>
    <xf numFmtId="0" fontId="0" fillId="0" borderId="57" xfId="0" applyFill="1" applyBorder="1"/>
    <xf numFmtId="0" fontId="0" fillId="0" borderId="58" xfId="0" quotePrefix="1" applyFill="1" applyBorder="1" applyAlignment="1">
      <alignment horizontal="right"/>
    </xf>
    <xf numFmtId="0" fontId="0" fillId="0" borderId="59" xfId="0" quotePrefix="1" applyFill="1" applyBorder="1" applyAlignment="1">
      <alignment horizontal="right"/>
    </xf>
    <xf numFmtId="0" fontId="16" fillId="0" borderId="57" xfId="3" quotePrefix="1" applyBorder="1" applyAlignment="1" applyProtection="1"/>
    <xf numFmtId="0" fontId="0" fillId="0" borderId="57" xfId="0" applyBorder="1"/>
    <xf numFmtId="0" fontId="19" fillId="0" borderId="57" xfId="3" quotePrefix="1" applyFont="1" applyBorder="1" applyAlignment="1" applyProtection="1"/>
    <xf numFmtId="0" fontId="19" fillId="0" borderId="60" xfId="3" quotePrefix="1" applyFont="1" applyBorder="1" applyAlignment="1" applyProtection="1"/>
    <xf numFmtId="0" fontId="0" fillId="0" borderId="61" xfId="0" quotePrefix="1" applyBorder="1" applyAlignment="1">
      <alignment horizontal="right"/>
    </xf>
    <xf numFmtId="0" fontId="0" fillId="0" borderId="62" xfId="0" quotePrefix="1" applyBorder="1" applyAlignment="1">
      <alignment horizontal="right"/>
    </xf>
    <xf numFmtId="0" fontId="0" fillId="0" borderId="0" xfId="0" applyAlignment="1"/>
    <xf numFmtId="0" fontId="0" fillId="0" borderId="0" xfId="0" applyBorder="1" applyAlignment="1"/>
    <xf numFmtId="0" fontId="0" fillId="0" borderId="0" xfId="0" applyAlignment="1" applyProtection="1">
      <protection locked="0"/>
    </xf>
    <xf numFmtId="0" fontId="2" fillId="3" borderId="1" xfId="0" applyFont="1" applyFill="1" applyBorder="1" applyAlignment="1" applyProtection="1">
      <alignment horizontal="right" wrapText="1" indent="1"/>
      <protection hidden="1"/>
    </xf>
    <xf numFmtId="0" fontId="3" fillId="4" borderId="1" xfId="2" applyFont="1" applyFill="1" applyBorder="1" applyAlignment="1" applyProtection="1">
      <alignment horizontal="right" vertical="center" indent="1"/>
      <protection hidden="1"/>
    </xf>
    <xf numFmtId="0" fontId="3" fillId="4" borderId="1" xfId="2" applyFont="1" applyFill="1" applyBorder="1" applyAlignment="1" applyProtection="1">
      <alignment horizontal="right" vertical="center" wrapText="1" indent="1"/>
      <protection hidden="1"/>
    </xf>
    <xf numFmtId="41" fontId="2" fillId="3" borderId="1" xfId="0" applyNumberFormat="1" applyFont="1" applyFill="1" applyBorder="1" applyAlignment="1" applyProtection="1">
      <alignment horizontal="left" wrapText="1" indent="2"/>
      <protection hidden="1"/>
    </xf>
    <xf numFmtId="41" fontId="2" fillId="3" borderId="1" xfId="0" applyNumberFormat="1" applyFont="1" applyFill="1" applyBorder="1" applyAlignment="1" applyProtection="1">
      <alignment horizontal="left" wrapText="1"/>
      <protection hidden="1"/>
    </xf>
    <xf numFmtId="41" fontId="2" fillId="3" borderId="1" xfId="0" applyNumberFormat="1" applyFont="1" applyFill="1" applyBorder="1" applyAlignment="1" applyProtection="1">
      <alignment horizontal="left" vertical="center" wrapText="1" indent="2"/>
      <protection hidden="1"/>
    </xf>
    <xf numFmtId="0" fontId="0" fillId="0" borderId="1" xfId="0" applyFill="1" applyBorder="1" applyAlignment="1" applyProtection="1">
      <alignment horizontal="left" wrapText="1" indent="1"/>
      <protection hidden="1"/>
    </xf>
    <xf numFmtId="0" fontId="3" fillId="4" borderId="1" xfId="2" applyFont="1" applyFill="1" applyBorder="1" applyAlignment="1" applyProtection="1">
      <alignment horizontal="right" vertical="center" wrapText="1"/>
      <protection hidden="1"/>
    </xf>
    <xf numFmtId="0" fontId="18" fillId="0" borderId="4" xfId="4" applyNumberFormat="1" applyFont="1" applyFill="1" applyBorder="1" applyAlignment="1" applyProtection="1">
      <alignment horizontal="left" wrapText="1" indent="1"/>
      <protection hidden="1"/>
    </xf>
    <xf numFmtId="0" fontId="3" fillId="2" borderId="8" xfId="0" applyFont="1" applyFill="1" applyBorder="1" applyAlignment="1" applyProtection="1">
      <alignment horizontal="center" vertical="center" wrapText="1"/>
      <protection hidden="1"/>
    </xf>
    <xf numFmtId="41" fontId="0" fillId="6" borderId="42" xfId="0" applyNumberFormat="1" applyFill="1" applyBorder="1" applyAlignment="1" applyProtection="1">
      <alignment horizontal="right"/>
      <protection locked="0"/>
    </xf>
    <xf numFmtId="41" fontId="0" fillId="6" borderId="29" xfId="0" applyNumberFormat="1" applyFill="1" applyBorder="1" applyAlignment="1" applyProtection="1">
      <alignment horizontal="right"/>
      <protection locked="0"/>
    </xf>
    <xf numFmtId="0" fontId="0" fillId="0" borderId="18" xfId="0" applyBorder="1" applyAlignment="1" applyProtection="1">
      <alignment horizontal="right"/>
      <protection locked="0"/>
    </xf>
    <xf numFmtId="0" fontId="0" fillId="0" borderId="3" xfId="0" applyBorder="1" applyAlignment="1" applyProtection="1">
      <alignment horizontal="right"/>
      <protection locked="0"/>
    </xf>
    <xf numFmtId="0" fontId="0" fillId="0" borderId="16" xfId="0" applyBorder="1" applyAlignment="1" applyProtection="1">
      <alignment horizontal="right"/>
      <protection locked="0"/>
    </xf>
    <xf numFmtId="0" fontId="2" fillId="7" borderId="19" xfId="0" applyFont="1" applyFill="1" applyBorder="1" applyAlignment="1" applyProtection="1">
      <alignment wrapText="1"/>
      <protection hidden="1"/>
    </xf>
    <xf numFmtId="0" fontId="2" fillId="7" borderId="20" xfId="0" applyFont="1" applyFill="1" applyBorder="1" applyAlignment="1" applyProtection="1">
      <alignment wrapText="1"/>
      <protection hidden="1"/>
    </xf>
    <xf numFmtId="0" fontId="2" fillId="7" borderId="21" xfId="0" applyFont="1" applyFill="1" applyBorder="1" applyAlignment="1" applyProtection="1">
      <alignment wrapText="1"/>
      <protection hidden="1"/>
    </xf>
    <xf numFmtId="0" fontId="2" fillId="7" borderId="30" xfId="0" applyFont="1" applyFill="1" applyBorder="1" applyAlignment="1" applyProtection="1">
      <alignment wrapText="1"/>
      <protection hidden="1"/>
    </xf>
    <xf numFmtId="0" fontId="2" fillId="7" borderId="27" xfId="0" applyFont="1" applyFill="1" applyBorder="1" applyAlignment="1" applyProtection="1">
      <alignment wrapText="1"/>
      <protection hidden="1"/>
    </xf>
    <xf numFmtId="0" fontId="2" fillId="7" borderId="31" xfId="0" applyFont="1" applyFill="1" applyBorder="1" applyAlignment="1" applyProtection="1">
      <alignment wrapText="1"/>
      <protection hidden="1"/>
    </xf>
    <xf numFmtId="0" fontId="0" fillId="0" borderId="0" xfId="0" applyNumberFormat="1" applyAlignment="1">
      <alignment horizontal="left" vertical="center"/>
    </xf>
    <xf numFmtId="0" fontId="0" fillId="0" borderId="0" xfId="0" applyFill="1" applyBorder="1" applyAlignment="1"/>
    <xf numFmtId="0" fontId="3" fillId="4" borderId="1" xfId="2" applyFont="1" applyFill="1" applyBorder="1" applyAlignment="1" applyProtection="1">
      <alignment horizontal="right" vertical="center"/>
      <protection hidden="1"/>
    </xf>
    <xf numFmtId="41" fontId="0" fillId="5" borderId="1" xfId="0" applyNumberFormat="1" applyFill="1" applyBorder="1" applyProtection="1">
      <protection locked="0"/>
    </xf>
    <xf numFmtId="41" fontId="0" fillId="5" borderId="1" xfId="0" applyNumberFormat="1" applyFill="1" applyBorder="1" applyProtection="1">
      <protection hidden="1"/>
    </xf>
    <xf numFmtId="0" fontId="14" fillId="12" borderId="1" xfId="0" applyFont="1" applyFill="1" applyBorder="1" applyAlignment="1" applyProtection="1">
      <alignment horizontal="center" vertical="center"/>
      <protection hidden="1"/>
    </xf>
    <xf numFmtId="0" fontId="0" fillId="0" borderId="50" xfId="0" applyFont="1" applyBorder="1" applyAlignment="1" applyProtection="1">
      <alignment horizontal="center" vertical="center" wrapText="1"/>
      <protection locked="0"/>
    </xf>
    <xf numFmtId="0" fontId="3" fillId="2" borderId="17"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14" fontId="3" fillId="2" borderId="21" xfId="0" applyNumberFormat="1"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0" fontId="2" fillId="2" borderId="1" xfId="0" applyFont="1" applyFill="1" applyBorder="1" applyAlignment="1">
      <alignment horizontal="center" vertical="center" wrapText="1"/>
    </xf>
    <xf numFmtId="0" fontId="3" fillId="4" borderId="1" xfId="2" applyFont="1" applyFill="1" applyBorder="1" applyAlignment="1" applyProtection="1">
      <alignment horizontal="right" vertical="center"/>
      <protection hidden="1"/>
    </xf>
    <xf numFmtId="0" fontId="0" fillId="0" borderId="23" xfId="0" applyBorder="1"/>
    <xf numFmtId="0" fontId="0" fillId="0" borderId="0" xfId="0" applyFont="1" applyAlignment="1">
      <alignment horizontal="center" vertical="center"/>
    </xf>
    <xf numFmtId="14" fontId="3" fillId="2" borderId="1" xfId="0" applyNumberFormat="1" applyFont="1" applyFill="1" applyBorder="1" applyAlignment="1" applyProtection="1">
      <alignment horizontal="center" vertical="center" wrapText="1"/>
      <protection hidden="1"/>
    </xf>
    <xf numFmtId="41" fontId="0" fillId="6" borderId="3" xfId="1" applyNumberFormat="1" applyFont="1" applyFill="1" applyBorder="1" applyAlignment="1" applyProtection="1">
      <alignment horizontal="right" wrapText="1"/>
      <protection locked="0" hidden="1"/>
    </xf>
    <xf numFmtId="41" fontId="0" fillId="6" borderId="18" xfId="1" applyNumberFormat="1" applyFont="1" applyFill="1" applyBorder="1" applyAlignment="1" applyProtection="1">
      <alignment horizontal="right" wrapText="1"/>
      <protection locked="0" hidden="1"/>
    </xf>
    <xf numFmtId="41" fontId="0" fillId="6" borderId="4" xfId="1" applyNumberFormat="1" applyFont="1" applyFill="1" applyBorder="1" applyAlignment="1" applyProtection="1">
      <alignment horizontal="right" wrapText="1"/>
      <protection locked="0" hidden="1"/>
    </xf>
    <xf numFmtId="41" fontId="0" fillId="6" borderId="1" xfId="1" applyNumberFormat="1" applyFont="1" applyFill="1" applyBorder="1" applyAlignment="1" applyProtection="1">
      <alignment horizontal="right" wrapText="1"/>
      <protection locked="0" hidden="1"/>
    </xf>
    <xf numFmtId="43" fontId="0" fillId="0" borderId="1" xfId="5" applyNumberFormat="1" applyFont="1" applyBorder="1" applyAlignment="1" applyProtection="1">
      <alignment horizontal="right" wrapText="1"/>
      <protection locked="0" hidden="1"/>
    </xf>
    <xf numFmtId="41" fontId="0" fillId="6" borderId="2" xfId="1" applyNumberFormat="1" applyFont="1" applyFill="1" applyBorder="1" applyAlignment="1" applyProtection="1">
      <alignment horizontal="right" wrapText="1"/>
      <protection locked="0" hidden="1"/>
    </xf>
    <xf numFmtId="41" fontId="2" fillId="5" borderId="1" xfId="1" applyNumberFormat="1" applyFont="1" applyFill="1" applyBorder="1" applyAlignment="1" applyProtection="1">
      <alignment horizontal="right" wrapText="1"/>
      <protection locked="0" hidden="1"/>
    </xf>
    <xf numFmtId="43" fontId="0" fillId="0" borderId="4" xfId="0" applyNumberFormat="1" applyBorder="1" applyAlignment="1" applyProtection="1">
      <alignment horizontal="right" wrapText="1"/>
      <protection locked="0" hidden="1"/>
    </xf>
    <xf numFmtId="41" fontId="0" fillId="6" borderId="1" xfId="1" applyNumberFormat="1" applyFont="1" applyFill="1" applyBorder="1" applyAlignment="1" applyProtection="1">
      <alignment wrapText="1"/>
      <protection locked="0" hidden="1"/>
    </xf>
    <xf numFmtId="0" fontId="0" fillId="0" borderId="1" xfId="0" applyBorder="1" applyAlignment="1" applyProtection="1">
      <alignment wrapText="1"/>
      <protection locked="0" hidden="1"/>
    </xf>
    <xf numFmtId="41" fontId="2" fillId="0" borderId="7" xfId="0" applyNumberFormat="1" applyFont="1" applyFill="1" applyBorder="1" applyAlignment="1" applyProtection="1">
      <alignment horizontal="right" wrapText="1"/>
      <protection locked="0" hidden="1"/>
    </xf>
    <xf numFmtId="41" fontId="2" fillId="0" borderId="1" xfId="0" applyNumberFormat="1" applyFont="1" applyFill="1" applyBorder="1" applyAlignment="1" applyProtection="1">
      <alignment horizontal="right" wrapText="1"/>
      <protection locked="0" hidden="1"/>
    </xf>
    <xf numFmtId="164" fontId="0" fillId="0" borderId="2" xfId="1" applyNumberFormat="1" applyFont="1" applyFill="1" applyBorder="1" applyAlignment="1" applyProtection="1">
      <alignment horizontal="right"/>
      <protection locked="0"/>
    </xf>
    <xf numFmtId="164" fontId="0" fillId="0" borderId="3" xfId="0" applyNumberFormat="1" applyFill="1" applyBorder="1" applyAlignment="1" applyProtection="1">
      <alignment horizontal="right"/>
      <protection locked="0"/>
    </xf>
    <xf numFmtId="164" fontId="0" fillId="0" borderId="3" xfId="1" applyNumberFormat="1" applyFont="1" applyFill="1" applyBorder="1" applyAlignment="1" applyProtection="1">
      <alignment horizontal="right"/>
      <protection locked="0"/>
    </xf>
    <xf numFmtId="164" fontId="0" fillId="0" borderId="4" xfId="1" applyNumberFormat="1" applyFont="1" applyFill="1" applyBorder="1" applyAlignment="1" applyProtection="1">
      <alignment horizontal="right"/>
      <protection locked="0"/>
    </xf>
    <xf numFmtId="164" fontId="0" fillId="0" borderId="2" xfId="0" applyNumberFormat="1" applyFill="1" applyBorder="1" applyAlignment="1" applyProtection="1">
      <alignment horizontal="right"/>
      <protection locked="0"/>
    </xf>
    <xf numFmtId="164" fontId="0" fillId="0" borderId="4" xfId="0" applyNumberFormat="1" applyFill="1" applyBorder="1" applyAlignment="1" applyProtection="1">
      <alignment horizontal="right"/>
      <protection locked="0"/>
    </xf>
    <xf numFmtId="164" fontId="0" fillId="0" borderId="2" xfId="1" applyNumberFormat="1" applyFont="1" applyFill="1" applyBorder="1" applyAlignment="1" applyProtection="1">
      <alignment horizontal="right"/>
      <protection hidden="1"/>
    </xf>
    <xf numFmtId="164" fontId="0" fillId="0" borderId="4" xfId="1" applyNumberFormat="1" applyFont="1" applyFill="1" applyBorder="1" applyAlignment="1" applyProtection="1">
      <alignment horizontal="right"/>
      <protection hidden="1"/>
    </xf>
    <xf numFmtId="164" fontId="0" fillId="0" borderId="3" xfId="1" applyNumberFormat="1" applyFont="1" applyFill="1" applyBorder="1" applyAlignment="1" applyProtection="1">
      <alignment horizontal="right"/>
      <protection hidden="1"/>
    </xf>
    <xf numFmtId="164" fontId="0" fillId="0" borderId="2" xfId="0" applyNumberFormat="1" applyFill="1" applyBorder="1" applyAlignment="1" applyProtection="1">
      <alignment horizontal="right"/>
      <protection hidden="1"/>
    </xf>
    <xf numFmtId="164" fontId="0" fillId="0" borderId="3" xfId="0" applyNumberFormat="1" applyFill="1" applyBorder="1" applyAlignment="1" applyProtection="1">
      <alignment horizontal="right"/>
      <protection hidden="1"/>
    </xf>
    <xf numFmtId="43" fontId="0" fillId="0" borderId="2" xfId="1" applyNumberFormat="1" applyFont="1" applyFill="1" applyBorder="1" applyAlignment="1" applyProtection="1">
      <alignment horizontal="right"/>
      <protection locked="0"/>
    </xf>
    <xf numFmtId="43" fontId="0" fillId="0" borderId="2" xfId="0" applyNumberFormat="1" applyFill="1" applyBorder="1" applyAlignment="1" applyProtection="1">
      <alignment horizontal="right"/>
      <protection locked="0"/>
    </xf>
    <xf numFmtId="43" fontId="0" fillId="0" borderId="3" xfId="0" applyNumberFormat="1" applyFill="1" applyBorder="1" applyAlignment="1" applyProtection="1">
      <alignment horizontal="right"/>
      <protection locked="0"/>
    </xf>
    <xf numFmtId="43" fontId="0" fillId="0" borderId="3" xfId="1" applyNumberFormat="1" applyFont="1" applyFill="1" applyBorder="1" applyAlignment="1" applyProtection="1">
      <alignment horizontal="right"/>
      <protection locked="0"/>
    </xf>
    <xf numFmtId="43" fontId="0" fillId="0" borderId="4" xfId="1" applyNumberFormat="1" applyFont="1" applyFill="1" applyBorder="1" applyAlignment="1" applyProtection="1">
      <alignment horizontal="right"/>
      <protection locked="0"/>
    </xf>
    <xf numFmtId="3" fontId="0" fillId="0" borderId="18" xfId="0" applyNumberFormat="1" applyFont="1" applyBorder="1" applyAlignment="1" applyProtection="1">
      <alignment horizontal="right" vertical="center" wrapText="1"/>
      <protection locked="0"/>
    </xf>
    <xf numFmtId="3" fontId="0" fillId="0" borderId="16" xfId="0" applyNumberFormat="1" applyFont="1" applyBorder="1" applyAlignment="1" applyProtection="1">
      <alignment horizontal="right" vertical="center" wrapText="1"/>
      <protection locked="0"/>
    </xf>
    <xf numFmtId="3" fontId="0" fillId="0" borderId="3" xfId="0" applyNumberFormat="1" applyFont="1" applyBorder="1" applyAlignment="1" applyProtection="1">
      <alignment horizontal="right" vertical="center" wrapText="1"/>
      <protection locked="0"/>
    </xf>
    <xf numFmtId="0" fontId="0" fillId="0" borderId="18" xfId="0" applyFont="1" applyBorder="1" applyAlignment="1" applyProtection="1">
      <alignment horizontal="right" vertical="center" wrapText="1"/>
      <protection locked="0"/>
    </xf>
    <xf numFmtId="3" fontId="0" fillId="0" borderId="1" xfId="0" applyNumberFormat="1" applyFont="1" applyBorder="1" applyAlignment="1" applyProtection="1">
      <alignment horizontal="right" vertical="center" wrapText="1"/>
      <protection locked="0"/>
    </xf>
    <xf numFmtId="3" fontId="0" fillId="0" borderId="2" xfId="0" applyNumberFormat="1" applyFont="1" applyBorder="1" applyAlignment="1" applyProtection="1">
      <alignment horizontal="right" vertical="center" wrapText="1"/>
      <protection locked="0"/>
    </xf>
    <xf numFmtId="3" fontId="0" fillId="0" borderId="4" xfId="0" applyNumberFormat="1" applyFont="1" applyBorder="1" applyAlignment="1" applyProtection="1">
      <alignment horizontal="right" vertical="center" wrapText="1"/>
      <protection locked="0"/>
    </xf>
    <xf numFmtId="43" fontId="0" fillId="0" borderId="2" xfId="0" applyNumberFormat="1" applyFont="1" applyBorder="1" applyAlignment="1" applyProtection="1">
      <alignment horizontal="right" vertical="center" wrapText="1"/>
      <protection locked="0"/>
    </xf>
    <xf numFmtId="43" fontId="0" fillId="0" borderId="4" xfId="0" applyNumberFormat="1" applyFont="1" applyBorder="1" applyAlignment="1" applyProtection="1">
      <alignment horizontal="right" vertical="center" wrapText="1"/>
      <protection locked="0"/>
    </xf>
    <xf numFmtId="43" fontId="0" fillId="0" borderId="12" xfId="0" applyNumberFormat="1" applyFont="1" applyBorder="1" applyAlignment="1" applyProtection="1">
      <alignment horizontal="right" vertical="center" wrapText="1"/>
      <protection locked="0"/>
    </xf>
    <xf numFmtId="43" fontId="0" fillId="0" borderId="3" xfId="0" applyNumberFormat="1" applyFont="1" applyBorder="1" applyAlignment="1" applyProtection="1">
      <alignment horizontal="right" vertical="center" wrapText="1"/>
      <protection locked="0"/>
    </xf>
    <xf numFmtId="43" fontId="7" fillId="0" borderId="3" xfId="0" applyNumberFormat="1" applyFont="1" applyBorder="1" applyAlignment="1" applyProtection="1">
      <alignment horizontal="right" vertical="center" wrapText="1"/>
      <protection locked="0"/>
    </xf>
    <xf numFmtId="43" fontId="7" fillId="0" borderId="2" xfId="0" applyNumberFormat="1" applyFont="1" applyBorder="1" applyAlignment="1" applyProtection="1">
      <alignment horizontal="right" vertical="center" wrapText="1"/>
      <protection locked="0"/>
    </xf>
    <xf numFmtId="43" fontId="7" fillId="0" borderId="4" xfId="0" applyNumberFormat="1" applyFont="1" applyBorder="1" applyAlignment="1" applyProtection="1">
      <alignment horizontal="right" vertical="center" wrapText="1"/>
      <protection locked="0"/>
    </xf>
    <xf numFmtId="43" fontId="7" fillId="0" borderId="2" xfId="0" applyNumberFormat="1" applyFont="1" applyBorder="1" applyAlignment="1" applyProtection="1">
      <alignment horizontal="right" vertical="center" wrapText="1"/>
      <protection hidden="1"/>
    </xf>
    <xf numFmtId="43" fontId="7" fillId="0" borderId="4" xfId="0" applyNumberFormat="1" applyFont="1" applyBorder="1" applyAlignment="1" applyProtection="1">
      <alignment horizontal="right" vertical="center" wrapText="1"/>
      <protection hidden="1"/>
    </xf>
    <xf numFmtId="43" fontId="7" fillId="0" borderId="12" xfId="0" applyNumberFormat="1" applyFont="1" applyBorder="1" applyAlignment="1" applyProtection="1">
      <alignment horizontal="right" vertical="center" wrapText="1"/>
      <protection hidden="1"/>
    </xf>
    <xf numFmtId="3" fontId="7" fillId="0" borderId="2" xfId="0" applyNumberFormat="1" applyFont="1" applyBorder="1" applyAlignment="1" applyProtection="1">
      <alignment horizontal="right" vertical="center" wrapText="1"/>
      <protection locked="0"/>
    </xf>
    <xf numFmtId="3" fontId="7" fillId="0" borderId="3" xfId="0" applyNumberFormat="1" applyFont="1" applyBorder="1" applyAlignment="1" applyProtection="1">
      <alignment horizontal="right" vertical="center" wrapText="1"/>
      <protection locked="0"/>
    </xf>
    <xf numFmtId="3" fontId="7" fillId="0" borderId="4" xfId="0" applyNumberFormat="1" applyFont="1" applyBorder="1" applyAlignment="1" applyProtection="1">
      <alignment horizontal="right" vertical="center" wrapText="1"/>
      <protection locked="0"/>
    </xf>
    <xf numFmtId="3" fontId="7" fillId="0" borderId="18" xfId="0" applyNumberFormat="1" applyFont="1" applyBorder="1" applyAlignment="1" applyProtection="1">
      <alignment horizontal="right" vertical="center" wrapText="1"/>
      <protection locked="0"/>
    </xf>
    <xf numFmtId="14" fontId="9" fillId="0" borderId="2" xfId="0" applyNumberFormat="1" applyFont="1" applyBorder="1" applyAlignment="1" applyProtection="1">
      <alignment horizontal="center" vertical="center"/>
      <protection locked="0"/>
    </xf>
    <xf numFmtId="0" fontId="9" fillId="0" borderId="3"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43" fontId="7" fillId="0" borderId="3" xfId="0" applyNumberFormat="1" applyFont="1" applyBorder="1" applyAlignment="1" applyProtection="1">
      <alignment horizontal="right" vertical="center"/>
      <protection locked="0"/>
    </xf>
    <xf numFmtId="43" fontId="0" fillId="0" borderId="3" xfId="0" applyNumberFormat="1" applyFont="1" applyBorder="1" applyAlignment="1" applyProtection="1">
      <alignment horizontal="right" vertical="center"/>
      <protection locked="0"/>
    </xf>
    <xf numFmtId="14" fontId="9" fillId="0" borderId="18" xfId="0" applyNumberFormat="1" applyFont="1" applyBorder="1" applyAlignment="1" applyProtection="1">
      <alignment horizontal="center" vertical="center"/>
      <protection locked="0"/>
    </xf>
    <xf numFmtId="3" fontId="7" fillId="0" borderId="3" xfId="0" applyNumberFormat="1" applyFont="1" applyBorder="1" applyAlignment="1" applyProtection="1">
      <alignment horizontal="right" vertical="center"/>
      <protection locked="0"/>
    </xf>
    <xf numFmtId="3" fontId="0" fillId="0" borderId="3" xfId="0" applyNumberFormat="1" applyFont="1" applyBorder="1" applyAlignment="1" applyProtection="1">
      <alignment horizontal="right" vertical="center"/>
      <protection locked="0"/>
    </xf>
    <xf numFmtId="43" fontId="7" fillId="0" borderId="18" xfId="0" applyNumberFormat="1" applyFont="1" applyBorder="1" applyAlignment="1" applyProtection="1">
      <alignment horizontal="right" vertical="center" wrapText="1"/>
      <protection locked="0"/>
    </xf>
    <xf numFmtId="43" fontId="0" fillId="0" borderId="18" xfId="0" applyNumberFormat="1" applyFont="1" applyBorder="1" applyAlignment="1" applyProtection="1">
      <alignment horizontal="right" vertical="center" wrapText="1"/>
      <protection locked="0"/>
    </xf>
    <xf numFmtId="43" fontId="7" fillId="0" borderId="16" xfId="0" applyNumberFormat="1" applyFont="1" applyBorder="1" applyAlignment="1" applyProtection="1">
      <alignment horizontal="right" vertical="center" wrapText="1"/>
      <protection locked="0"/>
    </xf>
    <xf numFmtId="43" fontId="0" fillId="0" borderId="16" xfId="0" applyNumberFormat="1" applyFont="1" applyBorder="1" applyAlignment="1" applyProtection="1">
      <alignment horizontal="right" vertical="center" wrapText="1"/>
      <protection locked="0"/>
    </xf>
    <xf numFmtId="3" fontId="7" fillId="0" borderId="12" xfId="0" applyNumberFormat="1" applyFont="1" applyBorder="1" applyAlignment="1" applyProtection="1">
      <alignment horizontal="right" vertical="center" wrapText="1"/>
      <protection locked="0"/>
    </xf>
    <xf numFmtId="3" fontId="0" fillId="0" borderId="12" xfId="0" applyNumberFormat="1" applyFont="1" applyBorder="1" applyAlignment="1" applyProtection="1">
      <alignment horizontal="right" vertical="center" wrapText="1"/>
      <protection locked="0"/>
    </xf>
    <xf numFmtId="43" fontId="0" fillId="0" borderId="2" xfId="0" applyNumberFormat="1" applyFont="1" applyBorder="1" applyAlignment="1" applyProtection="1">
      <alignment wrapText="1"/>
      <protection locked="0"/>
    </xf>
    <xf numFmtId="43" fontId="0" fillId="0" borderId="2" xfId="0" applyNumberFormat="1" applyFont="1" applyBorder="1" applyAlignment="1" applyProtection="1">
      <alignment horizontal="right" wrapText="1"/>
      <protection locked="0"/>
    </xf>
    <xf numFmtId="43" fontId="7" fillId="0" borderId="2" xfId="0" applyNumberFormat="1" applyFont="1" applyBorder="1" applyAlignment="1" applyProtection="1">
      <alignment horizontal="right" wrapText="1"/>
      <protection locked="0"/>
    </xf>
    <xf numFmtId="43" fontId="0" fillId="0" borderId="3" xfId="0" applyNumberFormat="1" applyFont="1" applyBorder="1" applyAlignment="1" applyProtection="1">
      <alignment wrapText="1"/>
      <protection locked="0"/>
    </xf>
    <xf numFmtId="43" fontId="0" fillId="0" borderId="3" xfId="0" applyNumberFormat="1" applyFont="1" applyBorder="1" applyAlignment="1" applyProtection="1">
      <alignment horizontal="right" wrapText="1"/>
      <protection locked="0"/>
    </xf>
    <xf numFmtId="43" fontId="7" fillId="0" borderId="3" xfId="0" applyNumberFormat="1" applyFont="1" applyBorder="1" applyAlignment="1" applyProtection="1">
      <alignment horizontal="right" wrapText="1"/>
      <protection locked="0"/>
    </xf>
    <xf numFmtId="43" fontId="7" fillId="0" borderId="3" xfId="0" applyNumberFormat="1" applyFont="1" applyBorder="1" applyAlignment="1" applyProtection="1">
      <alignment wrapText="1"/>
      <protection locked="0"/>
    </xf>
    <xf numFmtId="43" fontId="7" fillId="0" borderId="16" xfId="0" applyNumberFormat="1" applyFont="1" applyBorder="1" applyAlignment="1" applyProtection="1">
      <alignment wrapText="1"/>
      <protection locked="0"/>
    </xf>
    <xf numFmtId="43" fontId="7" fillId="0" borderId="16" xfId="0" applyNumberFormat="1" applyFont="1" applyBorder="1" applyAlignment="1" applyProtection="1">
      <alignment horizontal="right" wrapText="1"/>
      <protection locked="0"/>
    </xf>
    <xf numFmtId="4" fontId="0" fillId="0" borderId="2" xfId="0" applyNumberFormat="1" applyFont="1" applyBorder="1" applyAlignment="1" applyProtection="1">
      <alignment horizontal="right" vertical="center" wrapText="1"/>
      <protection locked="0"/>
    </xf>
    <xf numFmtId="4" fontId="0" fillId="0" borderId="3" xfId="0" applyNumberFormat="1" applyFont="1" applyBorder="1" applyAlignment="1" applyProtection="1">
      <alignment horizontal="right" vertical="center" wrapText="1"/>
      <protection locked="0"/>
    </xf>
    <xf numFmtId="4" fontId="7" fillId="0" borderId="3" xfId="0" applyNumberFormat="1" applyFont="1" applyBorder="1" applyAlignment="1" applyProtection="1">
      <alignment horizontal="right" vertical="center" wrapText="1"/>
      <protection locked="0"/>
    </xf>
    <xf numFmtId="4" fontId="0" fillId="0" borderId="17" xfId="0" applyNumberFormat="1" applyFont="1" applyBorder="1" applyAlignment="1" applyProtection="1">
      <alignment horizontal="right" vertical="center" wrapText="1"/>
      <protection locked="0"/>
    </xf>
    <xf numFmtId="3" fontId="7" fillId="0" borderId="16" xfId="0" applyNumberFormat="1" applyFont="1" applyBorder="1" applyAlignment="1" applyProtection="1">
      <alignment horizontal="right" vertical="center" wrapText="1"/>
      <protection locked="0"/>
    </xf>
    <xf numFmtId="4" fontId="7" fillId="0" borderId="16" xfId="0" applyNumberFormat="1" applyFont="1" applyBorder="1" applyAlignment="1" applyProtection="1">
      <alignment horizontal="right" vertical="center" wrapText="1"/>
      <protection locked="0"/>
    </xf>
    <xf numFmtId="41" fontId="0" fillId="6" borderId="17" xfId="1" applyNumberFormat="1" applyFont="1" applyFill="1" applyBorder="1" applyProtection="1">
      <protection locked="0"/>
    </xf>
    <xf numFmtId="10" fontId="0" fillId="0" borderId="18" xfId="0" applyNumberFormat="1" applyFont="1" applyBorder="1" applyAlignment="1" applyProtection="1">
      <alignment horizontal="right" vertical="center" wrapText="1"/>
      <protection locked="0"/>
    </xf>
    <xf numFmtId="10" fontId="0" fillId="0" borderId="16" xfId="0" applyNumberFormat="1" applyFont="1" applyBorder="1" applyAlignment="1" applyProtection="1">
      <alignment horizontal="right" vertical="center" wrapText="1"/>
      <protection locked="0"/>
    </xf>
    <xf numFmtId="3" fontId="0" fillId="0" borderId="18" xfId="0" applyNumberFormat="1" applyFont="1" applyBorder="1" applyProtection="1">
      <protection locked="0"/>
    </xf>
    <xf numFmtId="0" fontId="0" fillId="0" borderId="3" xfId="0" applyFont="1" applyBorder="1" applyProtection="1">
      <protection locked="0"/>
    </xf>
    <xf numFmtId="3" fontId="0" fillId="0" borderId="3" xfId="0" applyNumberFormat="1" applyFont="1" applyBorder="1" applyProtection="1">
      <protection locked="0"/>
    </xf>
    <xf numFmtId="43" fontId="0" fillId="0" borderId="3" xfId="0" applyNumberFormat="1" applyFont="1" applyBorder="1" applyProtection="1">
      <protection locked="0"/>
    </xf>
    <xf numFmtId="3" fontId="0" fillId="0" borderId="16" xfId="0" applyNumberFormat="1" applyFont="1" applyBorder="1" applyProtection="1">
      <protection locked="0"/>
    </xf>
    <xf numFmtId="0" fontId="0" fillId="0" borderId="2" xfId="0" applyFont="1" applyBorder="1" applyAlignment="1">
      <alignment horizontal="center" vertical="center"/>
    </xf>
    <xf numFmtId="0" fontId="3" fillId="2" borderId="1" xfId="0" applyFont="1" applyFill="1" applyBorder="1" applyAlignment="1" applyProtection="1">
      <alignment horizontal="center" vertical="center" wrapText="1"/>
      <protection locked="0"/>
    </xf>
    <xf numFmtId="43" fontId="0" fillId="0" borderId="2" xfId="0" applyNumberFormat="1" applyFont="1" applyBorder="1" applyAlignment="1" applyProtection="1">
      <alignment vertical="center"/>
      <protection locked="0"/>
    </xf>
    <xf numFmtId="43" fontId="0" fillId="0" borderId="3" xfId="0" applyNumberFormat="1" applyFont="1" applyBorder="1" applyAlignment="1" applyProtection="1">
      <alignment vertical="center"/>
      <protection locked="0"/>
    </xf>
    <xf numFmtId="43" fontId="0" fillId="0" borderId="16" xfId="0" applyNumberFormat="1" applyFont="1" applyBorder="1" applyAlignment="1" applyProtection="1">
      <alignment vertical="center"/>
      <protection locked="0"/>
    </xf>
    <xf numFmtId="43" fontId="7" fillId="0" borderId="18" xfId="0" applyNumberFormat="1" applyFont="1" applyBorder="1" applyAlignment="1" applyProtection="1">
      <alignment horizontal="center" vertical="center" wrapText="1"/>
      <protection locked="0"/>
    </xf>
    <xf numFmtId="43" fontId="7" fillId="0" borderId="18" xfId="0" applyNumberFormat="1" applyFont="1" applyBorder="1" applyAlignment="1" applyProtection="1">
      <alignment vertical="center" wrapText="1"/>
      <protection locked="0"/>
    </xf>
    <xf numFmtId="43" fontId="7" fillId="0" borderId="3" xfId="0" applyNumberFormat="1" applyFont="1" applyBorder="1" applyAlignment="1" applyProtection="1">
      <alignment horizontal="center" vertical="center" wrapText="1"/>
      <protection locked="0"/>
    </xf>
    <xf numFmtId="43" fontId="7" fillId="0" borderId="3" xfId="0" applyNumberFormat="1" applyFont="1" applyBorder="1" applyAlignment="1" applyProtection="1">
      <alignment vertical="center" wrapText="1"/>
      <protection locked="0"/>
    </xf>
    <xf numFmtId="43" fontId="7" fillId="0" borderId="16" xfId="0" applyNumberFormat="1" applyFont="1" applyBorder="1" applyAlignment="1" applyProtection="1">
      <alignment horizontal="center" vertical="center" wrapText="1"/>
      <protection locked="0"/>
    </xf>
    <xf numFmtId="43" fontId="7" fillId="0" borderId="16" xfId="0" applyNumberFormat="1" applyFont="1" applyBorder="1" applyAlignment="1" applyProtection="1">
      <alignment vertical="center" wrapText="1"/>
      <protection locked="0"/>
    </xf>
    <xf numFmtId="0" fontId="23" fillId="0" borderId="0" xfId="0" applyFont="1"/>
    <xf numFmtId="41" fontId="0" fillId="6" borderId="3" xfId="1" applyNumberFormat="1" applyFont="1" applyFill="1" applyBorder="1" applyAlignment="1" applyProtection="1">
      <alignment horizontal="right" wrapText="1"/>
      <protection locked="0"/>
    </xf>
    <xf numFmtId="0" fontId="3" fillId="2" borderId="1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4" borderId="1" xfId="2" applyFont="1" applyFill="1" applyBorder="1" applyAlignment="1" applyProtection="1">
      <alignment horizontal="right" vertical="center" wrapText="1"/>
      <protection hidden="1"/>
    </xf>
    <xf numFmtId="0" fontId="0" fillId="0" borderId="2" xfId="0" applyFill="1" applyBorder="1" applyAlignment="1">
      <alignment horizontal="left" indent="1"/>
    </xf>
    <xf numFmtId="0" fontId="0" fillId="0" borderId="3" xfId="0" applyFill="1" applyBorder="1" applyAlignment="1">
      <alignment horizontal="left" indent="1"/>
    </xf>
    <xf numFmtId="0" fontId="3" fillId="4" borderId="1" xfId="2" applyFont="1" applyFill="1" applyBorder="1" applyAlignment="1" applyProtection="1">
      <alignment horizontal="right" vertical="center" wrapText="1"/>
      <protection hidden="1"/>
    </xf>
    <xf numFmtId="0" fontId="0" fillId="0" borderId="2" xfId="0" applyBorder="1" applyAlignment="1">
      <alignment horizontal="left" vertical="center" wrapText="1" indent="1"/>
    </xf>
    <xf numFmtId="0" fontId="0" fillId="0" borderId="3" xfId="0" applyBorder="1" applyAlignment="1">
      <alignment horizontal="left" vertical="center" wrapText="1" indent="1"/>
    </xf>
    <xf numFmtId="0" fontId="0" fillId="0" borderId="4" xfId="0" applyBorder="1" applyAlignment="1">
      <alignment horizontal="left" vertical="center" wrapText="1" indent="1"/>
    </xf>
    <xf numFmtId="0" fontId="0" fillId="0" borderId="3" xfId="0" applyBorder="1" applyAlignment="1">
      <alignment horizontal="left" vertical="center" wrapText="1" indent="2"/>
    </xf>
    <xf numFmtId="0" fontId="0" fillId="0" borderId="4" xfId="0" applyBorder="1" applyAlignment="1">
      <alignment horizontal="left" vertical="center" wrapText="1" indent="2"/>
    </xf>
    <xf numFmtId="0" fontId="0" fillId="0" borderId="2" xfId="0" applyBorder="1" applyAlignment="1">
      <alignment horizontal="left" vertical="center" wrapText="1" indent="2"/>
    </xf>
    <xf numFmtId="0" fontId="0" fillId="0" borderId="2" xfId="0" applyFill="1" applyBorder="1" applyAlignment="1">
      <alignment horizontal="left" indent="2"/>
    </xf>
    <xf numFmtId="164" fontId="5" fillId="5" borderId="1" xfId="1" applyNumberFormat="1" applyFont="1" applyFill="1" applyBorder="1" applyAlignment="1">
      <alignment horizontal="right"/>
    </xf>
    <xf numFmtId="0" fontId="0" fillId="0" borderId="13" xfId="0" applyFill="1" applyBorder="1" applyAlignment="1">
      <alignment horizontal="left" indent="1"/>
    </xf>
    <xf numFmtId="0" fontId="0" fillId="0" borderId="14" xfId="0" applyFill="1" applyBorder="1" applyAlignment="1">
      <alignment horizontal="left" indent="1"/>
    </xf>
    <xf numFmtId="0" fontId="0" fillId="0" borderId="15" xfId="0" applyFill="1" applyBorder="1" applyAlignment="1">
      <alignment horizontal="left" indent="1"/>
    </xf>
    <xf numFmtId="0" fontId="0" fillId="0" borderId="66" xfId="0" applyFill="1" applyBorder="1" applyAlignment="1">
      <alignment horizontal="left" indent="1"/>
    </xf>
    <xf numFmtId="0" fontId="0" fillId="0" borderId="67" xfId="0" applyFill="1" applyBorder="1" applyAlignment="1">
      <alignment horizontal="left" indent="1"/>
    </xf>
    <xf numFmtId="0" fontId="0" fillId="0" borderId="68" xfId="0" applyFill="1" applyBorder="1" applyAlignment="1">
      <alignment horizontal="left" indent="1"/>
    </xf>
    <xf numFmtId="0" fontId="6" fillId="0" borderId="13" xfId="0" applyFont="1" applyFill="1" applyBorder="1" applyAlignment="1">
      <alignment horizontal="left" indent="1"/>
    </xf>
    <xf numFmtId="0" fontId="6" fillId="0" borderId="14" xfId="0" applyFont="1" applyFill="1" applyBorder="1" applyAlignment="1">
      <alignment horizontal="left" indent="1"/>
    </xf>
    <xf numFmtId="0" fontId="6" fillId="0" borderId="15" xfId="0" applyFont="1" applyFill="1" applyBorder="1" applyAlignment="1">
      <alignment horizontal="left" indent="1"/>
    </xf>
    <xf numFmtId="0" fontId="6" fillId="0" borderId="66" xfId="0" applyFont="1" applyFill="1" applyBorder="1" applyAlignment="1">
      <alignment horizontal="left" indent="1"/>
    </xf>
    <xf numFmtId="0" fontId="6" fillId="0" borderId="67" xfId="0" applyFont="1" applyFill="1" applyBorder="1" applyAlignment="1">
      <alignment horizontal="left" indent="1"/>
    </xf>
    <xf numFmtId="0" fontId="6" fillId="0" borderId="68" xfId="0" applyFont="1" applyFill="1" applyBorder="1" applyAlignment="1">
      <alignment horizontal="left" indent="1"/>
    </xf>
    <xf numFmtId="0" fontId="3" fillId="2" borderId="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41" fontId="0" fillId="0" borderId="1" xfId="0" applyNumberFormat="1" applyFill="1" applyBorder="1" applyAlignment="1" applyProtection="1">
      <alignment horizontal="left" indent="3"/>
      <protection locked="0"/>
    </xf>
    <xf numFmtId="41" fontId="3" fillId="4" borderId="1" xfId="2" applyNumberFormat="1" applyFont="1" applyFill="1" applyBorder="1" applyAlignment="1" applyProtection="1">
      <alignment horizontal="left" indent="10"/>
      <protection locked="0"/>
    </xf>
    <xf numFmtId="41" fontId="0" fillId="0" borderId="41" xfId="0" applyNumberFormat="1" applyBorder="1" applyAlignment="1" applyProtection="1">
      <alignment horizontal="left" wrapText="1" indent="2"/>
      <protection hidden="1"/>
    </xf>
    <xf numFmtId="0" fontId="0" fillId="0" borderId="18" xfId="0" applyBorder="1" applyAlignment="1">
      <alignment vertical="center" wrapText="1"/>
    </xf>
    <xf numFmtId="0" fontId="0" fillId="0" borderId="16" xfId="0" applyBorder="1" applyAlignment="1">
      <alignment vertical="center" wrapText="1"/>
    </xf>
    <xf numFmtId="43" fontId="0" fillId="0" borderId="3" xfId="5" applyNumberFormat="1" applyFont="1" applyBorder="1" applyAlignment="1" applyProtection="1">
      <alignment horizontal="right" vertical="center" wrapText="1"/>
      <protection locked="0"/>
    </xf>
    <xf numFmtId="0" fontId="2" fillId="0" borderId="12" xfId="0" applyFont="1" applyBorder="1" applyAlignment="1">
      <alignment horizontal="justify" vertical="center" wrapText="1"/>
    </xf>
    <xf numFmtId="0" fontId="0" fillId="0" borderId="12" xfId="0" applyBorder="1" applyAlignment="1">
      <alignment vertical="center" wrapText="1"/>
    </xf>
    <xf numFmtId="0" fontId="0" fillId="0" borderId="2" xfId="0" applyBorder="1" applyAlignment="1">
      <alignment vertical="center" wrapText="1"/>
    </xf>
    <xf numFmtId="0" fontId="0" fillId="0" borderId="4" xfId="0" applyBorder="1" applyAlignment="1">
      <alignment vertical="center" wrapText="1"/>
    </xf>
    <xf numFmtId="0" fontId="0" fillId="0" borderId="3" xfId="0" applyBorder="1" applyAlignment="1">
      <alignment vertical="center" wrapText="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protection hidden="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18" xfId="0" applyBorder="1" applyAlignment="1">
      <alignment horizontal="left" vertical="center" wrapText="1"/>
    </xf>
    <xf numFmtId="0" fontId="0" fillId="0" borderId="16" xfId="0" applyBorder="1" applyAlignment="1">
      <alignment horizontal="left" vertical="center" wrapText="1"/>
    </xf>
    <xf numFmtId="41" fontId="7" fillId="0" borderId="2" xfId="0" applyNumberFormat="1" applyFont="1" applyBorder="1" applyAlignment="1" applyProtection="1">
      <alignment horizontal="right" vertical="center" wrapText="1"/>
      <protection locked="0"/>
    </xf>
    <xf numFmtId="41" fontId="0" fillId="0" borderId="2" xfId="0" applyNumberFormat="1" applyFont="1" applyBorder="1" applyAlignment="1" applyProtection="1">
      <alignment horizontal="right" vertical="center" wrapText="1"/>
      <protection locked="0"/>
    </xf>
    <xf numFmtId="41" fontId="7" fillId="0" borderId="3" xfId="0" applyNumberFormat="1" applyFont="1" applyBorder="1" applyAlignment="1" applyProtection="1">
      <alignment horizontal="right" vertical="center" wrapText="1"/>
      <protection locked="0"/>
    </xf>
    <xf numFmtId="41" fontId="0" fillId="0" borderId="3" xfId="0" applyNumberFormat="1" applyFont="1" applyBorder="1" applyAlignment="1" applyProtection="1">
      <alignment horizontal="right" vertical="center" wrapText="1"/>
      <protection locked="0"/>
    </xf>
    <xf numFmtId="41" fontId="7" fillId="0" borderId="4" xfId="0" applyNumberFormat="1" applyFont="1" applyBorder="1" applyAlignment="1" applyProtection="1">
      <alignment horizontal="right" vertical="center" wrapText="1"/>
      <protection locked="0"/>
    </xf>
    <xf numFmtId="41" fontId="0" fillId="0" borderId="4" xfId="0" applyNumberFormat="1" applyFont="1" applyBorder="1" applyAlignment="1" applyProtection="1">
      <alignment horizontal="right" vertical="center" wrapText="1"/>
      <protection locked="0"/>
    </xf>
    <xf numFmtId="41" fontId="7" fillId="0" borderId="18" xfId="0" applyNumberFormat="1" applyFont="1" applyBorder="1" applyAlignment="1" applyProtection="1">
      <alignment horizontal="right" vertical="center" wrapText="1"/>
      <protection locked="0"/>
    </xf>
    <xf numFmtId="41" fontId="0" fillId="0" borderId="18" xfId="0" applyNumberFormat="1" applyFont="1" applyBorder="1" applyAlignment="1" applyProtection="1">
      <alignment horizontal="right" vertical="center" wrapText="1"/>
      <protection locked="0"/>
    </xf>
    <xf numFmtId="41" fontId="7" fillId="0" borderId="16" xfId="0" applyNumberFormat="1" applyFont="1" applyBorder="1" applyAlignment="1" applyProtection="1">
      <alignment horizontal="right" vertical="center" wrapText="1"/>
      <protection locked="0"/>
    </xf>
    <xf numFmtId="41" fontId="0" fillId="0" borderId="16" xfId="0" applyNumberFormat="1" applyFont="1" applyBorder="1" applyAlignment="1" applyProtection="1">
      <alignment horizontal="right" vertical="center" wrapText="1"/>
      <protection locked="0"/>
    </xf>
    <xf numFmtId="0" fontId="6" fillId="0" borderId="8" xfId="2" applyFont="1" applyFill="1" applyBorder="1" applyAlignment="1" applyProtection="1">
      <alignment horizontal="right" vertical="center" wrapText="1"/>
      <protection hidden="1"/>
    </xf>
    <xf numFmtId="41" fontId="6" fillId="0" borderId="8" xfId="1" applyNumberFormat="1" applyFont="1" applyFill="1" applyBorder="1" applyAlignment="1" applyProtection="1">
      <alignment horizontal="right" vertical="center"/>
      <protection locked="0"/>
    </xf>
    <xf numFmtId="10" fontId="7" fillId="0" borderId="40" xfId="0" applyNumberFormat="1" applyFont="1" applyBorder="1" applyAlignment="1" applyProtection="1">
      <alignment horizontal="right" vertical="center"/>
      <protection locked="0"/>
    </xf>
    <xf numFmtId="0" fontId="0" fillId="0" borderId="40" xfId="0" applyFont="1" applyBorder="1" applyAlignment="1">
      <alignment vertical="center" wrapText="1"/>
    </xf>
    <xf numFmtId="0" fontId="0" fillId="0" borderId="40" xfId="0" applyBorder="1" applyAlignment="1">
      <alignment vertical="center" wrapText="1"/>
    </xf>
    <xf numFmtId="0" fontId="0" fillId="2" borderId="1" xfId="0" applyFont="1" applyFill="1" applyBorder="1" applyAlignment="1">
      <alignment horizontal="center" vertical="center"/>
    </xf>
    <xf numFmtId="0" fontId="0" fillId="2" borderId="1" xfId="0" applyNumberFormat="1" applyFont="1" applyFill="1" applyBorder="1" applyAlignment="1">
      <alignment horizontal="center" vertical="center"/>
    </xf>
    <xf numFmtId="43" fontId="0" fillId="0" borderId="0" xfId="0" applyNumberFormat="1"/>
    <xf numFmtId="43" fontId="0" fillId="0" borderId="2" xfId="0" applyNumberFormat="1" applyBorder="1" applyAlignment="1">
      <alignment horizontal="left" vertical="center" indent="1"/>
    </xf>
    <xf numFmtId="43" fontId="0" fillId="0" borderId="3" xfId="0" applyNumberFormat="1" applyBorder="1" applyAlignment="1">
      <alignment horizontal="left" vertical="center" indent="1"/>
    </xf>
    <xf numFmtId="43" fontId="0" fillId="0" borderId="4" xfId="0" applyNumberFormat="1" applyBorder="1" applyAlignment="1">
      <alignment horizontal="left" vertical="center" indent="1"/>
    </xf>
    <xf numFmtId="43" fontId="0" fillId="0" borderId="2" xfId="0" applyNumberFormat="1" applyBorder="1" applyAlignment="1">
      <alignment horizontal="left" vertical="center" indent="2"/>
    </xf>
    <xf numFmtId="43" fontId="0" fillId="0" borderId="3" xfId="0" applyNumberFormat="1" applyBorder="1" applyAlignment="1">
      <alignment horizontal="left" vertical="center" indent="2"/>
    </xf>
    <xf numFmtId="43" fontId="0" fillId="0" borderId="4" xfId="0" applyNumberFormat="1" applyBorder="1" applyAlignment="1">
      <alignment horizontal="left" vertical="center" indent="2"/>
    </xf>
    <xf numFmtId="43" fontId="0" fillId="0" borderId="3" xfId="0" applyNumberFormat="1" applyFont="1" applyBorder="1" applyAlignment="1">
      <alignment horizontal="left" vertical="center" indent="1"/>
    </xf>
    <xf numFmtId="43" fontId="0" fillId="0" borderId="18" xfId="0" applyNumberFormat="1" applyBorder="1" applyAlignment="1">
      <alignment horizontal="left" vertical="center" indent="2"/>
    </xf>
    <xf numFmtId="43" fontId="0" fillId="0" borderId="3" xfId="0" applyNumberFormat="1" applyFont="1" applyBorder="1" applyAlignment="1">
      <alignment horizontal="left" vertical="center" indent="2"/>
    </xf>
    <xf numFmtId="43" fontId="0" fillId="0" borderId="18" xfId="0" applyNumberFormat="1" applyFont="1" applyBorder="1" applyAlignment="1">
      <alignment horizontal="left" vertical="center" indent="2"/>
    </xf>
    <xf numFmtId="43" fontId="0" fillId="0" borderId="4" xfId="0" applyNumberFormat="1" applyFont="1" applyBorder="1" applyAlignment="1">
      <alignment horizontal="left" vertical="center" indent="2"/>
    </xf>
    <xf numFmtId="0" fontId="0" fillId="0" borderId="0" xfId="0" applyNumberFormat="1" applyAlignment="1">
      <alignment horizontal="left"/>
    </xf>
    <xf numFmtId="43" fontId="0" fillId="0" borderId="16" xfId="0" applyNumberFormat="1" applyBorder="1" applyAlignment="1">
      <alignment horizontal="left" vertical="center" indent="2"/>
    </xf>
    <xf numFmtId="0" fontId="0" fillId="0" borderId="2" xfId="0" applyFont="1" applyBorder="1" applyAlignment="1">
      <alignment horizontal="left" vertical="center" indent="1"/>
    </xf>
    <xf numFmtId="0" fontId="0" fillId="0" borderId="3" xfId="0" applyFont="1" applyBorder="1" applyAlignment="1">
      <alignment horizontal="left" vertical="center" indent="1"/>
    </xf>
    <xf numFmtId="0" fontId="0" fillId="0" borderId="4" xfId="0" applyFont="1" applyBorder="1" applyAlignment="1">
      <alignment horizontal="left" vertical="center" indent="1"/>
    </xf>
    <xf numFmtId="0" fontId="0" fillId="0" borderId="2" xfId="0" applyBorder="1" applyAlignment="1">
      <alignment horizontal="left" vertical="center" indent="1"/>
    </xf>
    <xf numFmtId="0" fontId="0" fillId="0" borderId="3" xfId="0" applyBorder="1" applyAlignment="1">
      <alignment horizontal="left" vertical="center" indent="1"/>
    </xf>
    <xf numFmtId="0" fontId="0" fillId="0" borderId="4" xfId="0" applyBorder="1" applyAlignment="1">
      <alignment horizontal="left" vertical="center" indent="1"/>
    </xf>
    <xf numFmtId="43" fontId="7" fillId="0" borderId="3" xfId="0" applyNumberFormat="1" applyFont="1" applyBorder="1" applyAlignment="1">
      <alignment horizontal="left" vertical="center" indent="2"/>
    </xf>
    <xf numFmtId="0" fontId="0" fillId="0" borderId="12" xfId="0" applyFont="1" applyBorder="1" applyAlignment="1">
      <alignment horizontal="left" vertical="center" indent="1"/>
    </xf>
    <xf numFmtId="41" fontId="7" fillId="0" borderId="2" xfId="0" applyNumberFormat="1" applyFont="1" applyBorder="1" applyAlignment="1">
      <alignment horizontal="right" vertical="center" wrapText="1"/>
    </xf>
    <xf numFmtId="41" fontId="0" fillId="0" borderId="2" xfId="0" applyNumberFormat="1" applyFont="1" applyBorder="1" applyAlignment="1">
      <alignment horizontal="right" vertical="center" wrapText="1"/>
    </xf>
    <xf numFmtId="41" fontId="7" fillId="0" borderId="3" xfId="0" applyNumberFormat="1" applyFont="1" applyBorder="1" applyAlignment="1">
      <alignment horizontal="right" vertical="center" wrapText="1"/>
    </xf>
    <xf numFmtId="41" fontId="0" fillId="0" borderId="3" xfId="0" applyNumberFormat="1" applyFont="1" applyBorder="1" applyAlignment="1">
      <alignment horizontal="right" vertical="center" wrapText="1"/>
    </xf>
    <xf numFmtId="41" fontId="0" fillId="0" borderId="4" xfId="0" applyNumberFormat="1" applyFont="1" applyBorder="1" applyAlignment="1">
      <alignment horizontal="right" vertical="center" wrapText="1"/>
    </xf>
    <xf numFmtId="0" fontId="0" fillId="0" borderId="18" xfId="0" applyBorder="1" applyAlignment="1">
      <alignment horizontal="left" vertical="center" indent="2"/>
    </xf>
    <xf numFmtId="0" fontId="0" fillId="0" borderId="3" xfId="0" applyBorder="1" applyAlignment="1">
      <alignment horizontal="left" vertical="center" indent="2"/>
    </xf>
    <xf numFmtId="0" fontId="0" fillId="0" borderId="4" xfId="0" applyBorder="1" applyAlignment="1">
      <alignment horizontal="left" vertical="center" indent="2"/>
    </xf>
    <xf numFmtId="0" fontId="0" fillId="0" borderId="2" xfId="0" applyBorder="1" applyAlignment="1">
      <alignment horizontal="left" vertical="center" indent="2"/>
    </xf>
    <xf numFmtId="0" fontId="0" fillId="0" borderId="12" xfId="0" applyBorder="1" applyAlignment="1">
      <alignment horizontal="left" vertical="center" indent="1"/>
    </xf>
    <xf numFmtId="41" fontId="0" fillId="0" borderId="12" xfId="0" applyNumberFormat="1" applyFont="1" applyBorder="1" applyAlignment="1" applyProtection="1">
      <alignment horizontal="right" vertical="center" wrapText="1"/>
      <protection locked="0"/>
    </xf>
    <xf numFmtId="10" fontId="0" fillId="0" borderId="2" xfId="0" applyNumberFormat="1" applyFont="1" applyBorder="1" applyAlignment="1" applyProtection="1">
      <alignment horizontal="right" vertical="center" wrapText="1"/>
      <protection locked="0"/>
    </xf>
    <xf numFmtId="10" fontId="0" fillId="0" borderId="17" xfId="0" applyNumberFormat="1" applyFont="1" applyBorder="1" applyAlignment="1" applyProtection="1">
      <alignment horizontal="right" vertical="center" wrapText="1"/>
      <protection locked="0"/>
    </xf>
    <xf numFmtId="41" fontId="2" fillId="3" borderId="1" xfId="0" applyNumberFormat="1" applyFont="1" applyFill="1" applyBorder="1" applyAlignment="1" applyProtection="1">
      <alignment horizontal="right" vertical="center"/>
      <protection hidden="1"/>
    </xf>
    <xf numFmtId="0" fontId="0" fillId="13" borderId="0" xfId="0" applyFill="1"/>
    <xf numFmtId="0" fontId="0" fillId="14" borderId="0" xfId="0" applyFill="1"/>
    <xf numFmtId="0" fontId="0" fillId="14" borderId="0" xfId="0" applyNumberFormat="1" applyFill="1"/>
    <xf numFmtId="41" fontId="7" fillId="6" borderId="1" xfId="0" applyNumberFormat="1" applyFont="1" applyFill="1" applyBorder="1" applyAlignment="1" applyProtection="1">
      <alignment horizontal="right" vertical="center" wrapText="1"/>
      <protection locked="0"/>
    </xf>
    <xf numFmtId="41" fontId="0" fillId="6" borderId="1" xfId="0" applyNumberFormat="1" applyFont="1" applyFill="1" applyBorder="1" applyAlignment="1" applyProtection="1">
      <alignment horizontal="right" vertical="center" wrapText="1"/>
      <protection locked="0"/>
    </xf>
    <xf numFmtId="41" fontId="7" fillId="5" borderId="4" xfId="0" applyNumberFormat="1" applyFont="1" applyFill="1" applyBorder="1" applyAlignment="1" applyProtection="1">
      <alignment horizontal="right" vertical="center" wrapText="1"/>
      <protection locked="0"/>
    </xf>
    <xf numFmtId="41" fontId="0" fillId="5" borderId="4" xfId="0" applyNumberFormat="1" applyFont="1" applyFill="1" applyBorder="1" applyAlignment="1" applyProtection="1">
      <alignment horizontal="right" vertical="center" wrapText="1"/>
      <protection locked="0"/>
    </xf>
    <xf numFmtId="3" fontId="7" fillId="6" borderId="4" xfId="0" applyNumberFormat="1" applyFont="1" applyFill="1" applyBorder="1" applyAlignment="1" applyProtection="1">
      <alignment horizontal="right" vertical="center" wrapText="1"/>
      <protection locked="0"/>
    </xf>
    <xf numFmtId="3" fontId="0" fillId="6" borderId="4" xfId="0" applyNumberFormat="1" applyFont="1" applyFill="1" applyBorder="1" applyAlignment="1" applyProtection="1">
      <alignment horizontal="right" vertical="center" wrapText="1"/>
      <protection locked="0"/>
    </xf>
    <xf numFmtId="3" fontId="7" fillId="6" borderId="8" xfId="0" applyNumberFormat="1" applyFont="1" applyFill="1" applyBorder="1" applyAlignment="1" applyProtection="1">
      <alignment horizontal="right" vertical="center" wrapText="1"/>
      <protection locked="0"/>
    </xf>
    <xf numFmtId="10" fontId="6" fillId="6" borderId="17" xfId="1" applyNumberFormat="1" applyFont="1" applyFill="1" applyBorder="1" applyAlignment="1" applyProtection="1">
      <alignment horizontal="right" vertical="center"/>
      <protection hidden="1"/>
    </xf>
    <xf numFmtId="0" fontId="3" fillId="4" borderId="1" xfId="2" applyFont="1" applyFill="1" applyBorder="1" applyAlignment="1" applyProtection="1">
      <alignment horizontal="right" vertical="center" wrapText="1"/>
      <protection hidden="1"/>
    </xf>
    <xf numFmtId="49" fontId="2" fillId="3" borderId="1" xfId="0" applyNumberFormat="1" applyFont="1" applyFill="1" applyBorder="1" applyAlignment="1" applyProtection="1">
      <alignment horizontal="left" wrapText="1" indent="1"/>
      <protection hidden="1"/>
    </xf>
    <xf numFmtId="49" fontId="0" fillId="0" borderId="29" xfId="0" applyNumberFormat="1" applyBorder="1" applyAlignment="1" applyProtection="1">
      <alignment horizontal="left" indent="3"/>
      <protection hidden="1"/>
    </xf>
    <xf numFmtId="49" fontId="2" fillId="3" borderId="1" xfId="0" applyNumberFormat="1" applyFont="1" applyFill="1" applyBorder="1" applyAlignment="1" applyProtection="1">
      <alignment horizontal="left" wrapText="1" indent="2"/>
      <protection hidden="1"/>
    </xf>
    <xf numFmtId="49" fontId="3" fillId="4" borderId="1" xfId="2" applyNumberFormat="1" applyFont="1" applyFill="1" applyBorder="1" applyAlignment="1" applyProtection="1">
      <alignment horizontal="right"/>
      <protection hidden="1"/>
    </xf>
    <xf numFmtId="49" fontId="3" fillId="4" borderId="1" xfId="2" applyNumberFormat="1" applyFont="1" applyFill="1" applyBorder="1" applyAlignment="1" applyProtection="1">
      <alignment horizontal="left" indent="1"/>
      <protection hidden="1"/>
    </xf>
    <xf numFmtId="49" fontId="0" fillId="0" borderId="41" xfId="0" applyNumberFormat="1" applyBorder="1" applyAlignment="1" applyProtection="1">
      <alignment horizontal="left" indent="3"/>
      <protection hidden="1"/>
    </xf>
    <xf numFmtId="49" fontId="0" fillId="0" borderId="39" xfId="0" applyNumberFormat="1" applyBorder="1" applyAlignment="1" applyProtection="1">
      <alignment horizontal="left" indent="3"/>
      <protection hidden="1"/>
    </xf>
    <xf numFmtId="49" fontId="0" fillId="0" borderId="36" xfId="0" applyNumberFormat="1" applyBorder="1" applyAlignment="1" applyProtection="1">
      <alignment horizontal="left" indent="3"/>
      <protection hidden="1"/>
    </xf>
    <xf numFmtId="49" fontId="2" fillId="3" borderId="1" xfId="0" applyNumberFormat="1" applyFont="1" applyFill="1" applyBorder="1" applyAlignment="1" applyProtection="1">
      <alignment horizontal="left" wrapText="1" indent="3"/>
      <protection hidden="1"/>
    </xf>
    <xf numFmtId="49" fontId="0" fillId="0" borderId="38" xfId="0" applyNumberFormat="1" applyBorder="1" applyAlignment="1" applyProtection="1">
      <alignment horizontal="left" indent="3"/>
      <protection hidden="1"/>
    </xf>
    <xf numFmtId="49" fontId="0" fillId="0" borderId="22" xfId="0" applyNumberFormat="1" applyBorder="1" applyAlignment="1" applyProtection="1">
      <alignment horizontal="left" indent="3"/>
      <protection hidden="1"/>
    </xf>
    <xf numFmtId="49" fontId="0" fillId="0" borderId="37" xfId="0" applyNumberFormat="1" applyBorder="1" applyAlignment="1" applyProtection="1">
      <alignment horizontal="left" indent="3"/>
      <protection hidden="1"/>
    </xf>
    <xf numFmtId="49" fontId="3" fillId="4" borderId="1" xfId="2" applyNumberFormat="1" applyFont="1" applyFill="1" applyBorder="1" applyAlignment="1" applyProtection="1">
      <alignment horizontal="right" indent="1"/>
      <protection hidden="1"/>
    </xf>
    <xf numFmtId="49" fontId="3" fillId="4" borderId="1" xfId="2" applyNumberFormat="1" applyFont="1" applyFill="1" applyBorder="1" applyAlignment="1" applyProtection="1">
      <alignment horizontal="right" wrapText="1" indent="1"/>
      <protection hidden="1"/>
    </xf>
    <xf numFmtId="49" fontId="0" fillId="0" borderId="40" xfId="0" applyNumberFormat="1" applyBorder="1" applyAlignment="1" applyProtection="1">
      <alignment horizontal="left" indent="3"/>
      <protection hidden="1"/>
    </xf>
    <xf numFmtId="49" fontId="3" fillId="4" borderId="1" xfId="2" applyNumberFormat="1" applyFont="1" applyFill="1" applyBorder="1" applyAlignment="1" applyProtection="1">
      <alignment horizontal="right" wrapText="1"/>
      <protection hidden="1"/>
    </xf>
    <xf numFmtId="49" fontId="0" fillId="0" borderId="1" xfId="0" applyNumberFormat="1" applyBorder="1" applyAlignment="1" applyProtection="1">
      <alignment horizontal="right"/>
      <protection hidden="1"/>
    </xf>
    <xf numFmtId="49" fontId="0" fillId="6" borderId="33" xfId="0" applyNumberFormat="1" applyFill="1" applyBorder="1" applyAlignment="1" applyProtection="1">
      <alignment horizontal="center" vertical="center"/>
      <protection locked="0" hidden="1"/>
    </xf>
    <xf numFmtId="0" fontId="0" fillId="0" borderId="0" xfId="0" applyAlignment="1">
      <alignment horizontal="center" vertical="center"/>
    </xf>
    <xf numFmtId="0" fontId="0" fillId="16" borderId="75" xfId="0" applyNumberFormat="1" applyFont="1" applyFill="1" applyBorder="1"/>
    <xf numFmtId="0" fontId="0" fillId="0" borderId="75" xfId="0" applyNumberFormat="1" applyFont="1" applyBorder="1"/>
    <xf numFmtId="0" fontId="0" fillId="0" borderId="75" xfId="0" quotePrefix="1" applyNumberFormat="1" applyFont="1" applyBorder="1"/>
    <xf numFmtId="0" fontId="0" fillId="16" borderId="75" xfId="0" quotePrefix="1" applyNumberFormat="1" applyFont="1" applyFill="1" applyBorder="1"/>
    <xf numFmtId="0" fontId="0" fillId="0" borderId="75" xfId="0" applyNumberFormat="1" applyFont="1" applyBorder="1" applyAlignment="1">
      <alignment wrapText="1"/>
    </xf>
    <xf numFmtId="0" fontId="0" fillId="16" borderId="75" xfId="0" applyNumberFormat="1" applyFont="1" applyFill="1" applyBorder="1" applyAlignment="1">
      <alignment wrapText="1"/>
    </xf>
    <xf numFmtId="0" fontId="24" fillId="15" borderId="75" xfId="0" applyNumberFormat="1" applyFont="1" applyFill="1" applyBorder="1"/>
    <xf numFmtId="0" fontId="0" fillId="0" borderId="0" xfId="0" quotePrefix="1" applyNumberFormat="1" applyFont="1" applyBorder="1"/>
    <xf numFmtId="0" fontId="0" fillId="0" borderId="0" xfId="0" applyNumberFormat="1" applyFont="1" applyBorder="1"/>
    <xf numFmtId="0" fontId="25" fillId="16" borderId="75" xfId="0" applyNumberFormat="1" applyFont="1" applyFill="1" applyBorder="1"/>
    <xf numFmtId="0" fontId="25" fillId="0" borderId="75" xfId="0" applyNumberFormat="1" applyFont="1" applyBorder="1"/>
    <xf numFmtId="0" fontId="25" fillId="0" borderId="0" xfId="0" applyNumberFormat="1" applyFont="1" applyBorder="1"/>
    <xf numFmtId="0" fontId="0" fillId="0" borderId="50" xfId="0" applyBorder="1" applyAlignment="1" applyProtection="1">
      <alignment horizontal="center" vertical="center" wrapText="1"/>
      <protection locked="0"/>
    </xf>
    <xf numFmtId="0" fontId="0" fillId="0" borderId="5" xfId="0" applyFont="1" applyFill="1" applyBorder="1" applyAlignment="1" applyProtection="1">
      <alignment horizontal="center" vertical="center"/>
      <protection hidden="1"/>
    </xf>
    <xf numFmtId="0" fontId="0" fillId="0" borderId="7" xfId="0" applyFont="1" applyFill="1" applyBorder="1" applyAlignment="1" applyProtection="1">
      <alignment horizontal="center" vertical="center"/>
      <protection hidden="1"/>
    </xf>
    <xf numFmtId="0" fontId="6" fillId="0" borderId="76" xfId="0" applyFont="1" applyFill="1" applyBorder="1" applyAlignment="1" applyProtection="1">
      <alignment horizontal="left" vertical="center" wrapText="1" indent="2"/>
    </xf>
    <xf numFmtId="49" fontId="0" fillId="6" borderId="76" xfId="0" applyNumberFormat="1" applyFill="1" applyBorder="1" applyAlignment="1" applyProtection="1">
      <alignment horizontal="center" vertical="center"/>
      <protection locked="0"/>
    </xf>
    <xf numFmtId="0" fontId="6" fillId="0" borderId="1" xfId="0" applyFont="1" applyFill="1" applyBorder="1" applyAlignment="1" applyProtection="1">
      <alignment horizontal="left" vertical="center" indent="2"/>
    </xf>
    <xf numFmtId="0" fontId="6" fillId="0" borderId="1" xfId="0" applyFont="1" applyFill="1" applyBorder="1" applyAlignment="1" applyProtection="1">
      <alignment horizontal="left" vertical="center" wrapText="1" indent="2"/>
      <protection locked="0"/>
    </xf>
    <xf numFmtId="0" fontId="14" fillId="2" borderId="5" xfId="0" applyFont="1" applyFill="1" applyBorder="1" applyAlignment="1" applyProtection="1">
      <alignment horizontal="center" vertical="center"/>
      <protection hidden="1"/>
    </xf>
    <xf numFmtId="0" fontId="14" fillId="2" borderId="6" xfId="0" applyFont="1" applyFill="1" applyBorder="1" applyAlignment="1" applyProtection="1">
      <alignment horizontal="center" vertical="center"/>
      <protection hidden="1"/>
    </xf>
    <xf numFmtId="0" fontId="14" fillId="2" borderId="7" xfId="0" applyFont="1" applyFill="1" applyBorder="1" applyAlignment="1" applyProtection="1">
      <alignment horizontal="center" vertical="center"/>
      <protection hidden="1"/>
    </xf>
    <xf numFmtId="0" fontId="0" fillId="4" borderId="1" xfId="0" applyFont="1" applyFill="1" applyBorder="1" applyAlignment="1" applyProtection="1">
      <alignment horizontal="center" vertical="center"/>
      <protection hidden="1"/>
    </xf>
    <xf numFmtId="0" fontId="2" fillId="11" borderId="5" xfId="0" applyFont="1" applyFill="1" applyBorder="1" applyAlignment="1">
      <alignment horizontal="center" vertical="center"/>
    </xf>
    <xf numFmtId="0" fontId="2" fillId="11" borderId="6" xfId="0" applyFont="1" applyFill="1" applyBorder="1" applyAlignment="1">
      <alignment horizontal="center" vertical="center"/>
    </xf>
    <xf numFmtId="0" fontId="2" fillId="11" borderId="7" xfId="0" applyFont="1" applyFill="1" applyBorder="1" applyAlignment="1">
      <alignment horizontal="center" vertical="center"/>
    </xf>
    <xf numFmtId="0" fontId="2" fillId="3" borderId="5" xfId="0" applyFont="1" applyFill="1" applyBorder="1" applyAlignment="1" applyProtection="1">
      <alignment horizontal="center" wrapText="1"/>
      <protection hidden="1"/>
    </xf>
    <xf numFmtId="0" fontId="2" fillId="3" borderId="6" xfId="0" applyFont="1" applyFill="1" applyBorder="1" applyAlignment="1" applyProtection="1">
      <alignment horizontal="center" wrapText="1"/>
      <protection hidden="1"/>
    </xf>
    <xf numFmtId="0" fontId="2" fillId="3" borderId="7" xfId="0" applyFont="1" applyFill="1" applyBorder="1" applyAlignment="1" applyProtection="1">
      <alignment horizontal="center" wrapText="1"/>
      <protection hidden="1"/>
    </xf>
    <xf numFmtId="41" fontId="2" fillId="3" borderId="5" xfId="0" applyNumberFormat="1" applyFont="1" applyFill="1" applyBorder="1" applyAlignment="1" applyProtection="1">
      <alignment horizontal="center" wrapText="1"/>
      <protection hidden="1"/>
    </xf>
    <xf numFmtId="41" fontId="2" fillId="3" borderId="6" xfId="0" applyNumberFormat="1" applyFont="1" applyFill="1" applyBorder="1" applyAlignment="1" applyProtection="1">
      <alignment horizontal="center" wrapText="1"/>
      <protection hidden="1"/>
    </xf>
    <xf numFmtId="41" fontId="2" fillId="3" borderId="7" xfId="0" applyNumberFormat="1" applyFont="1" applyFill="1" applyBorder="1" applyAlignment="1" applyProtection="1">
      <alignment horizontal="center" wrapText="1"/>
      <protection hidden="1"/>
    </xf>
    <xf numFmtId="0" fontId="3" fillId="2" borderId="5" xfId="0" applyFont="1" applyFill="1" applyBorder="1" applyAlignment="1" applyProtection="1">
      <alignment horizontal="center" vertical="center" wrapText="1"/>
      <protection hidden="1"/>
    </xf>
    <xf numFmtId="0" fontId="3" fillId="2" borderId="6" xfId="0" applyFont="1" applyFill="1" applyBorder="1" applyAlignment="1" applyProtection="1">
      <alignment horizontal="center" vertical="center" wrapText="1"/>
      <protection hidden="1"/>
    </xf>
    <xf numFmtId="0" fontId="3" fillId="2" borderId="7" xfId="0" applyFont="1" applyFill="1" applyBorder="1" applyAlignment="1" applyProtection="1">
      <alignment horizontal="center" vertical="center" wrapText="1"/>
      <protection hidden="1"/>
    </xf>
    <xf numFmtId="49" fontId="3" fillId="2" borderId="8" xfId="0" applyNumberFormat="1" applyFont="1" applyFill="1" applyBorder="1" applyAlignment="1" applyProtection="1">
      <alignment horizontal="center" vertical="center" wrapText="1"/>
      <protection hidden="1"/>
    </xf>
    <xf numFmtId="49" fontId="3" fillId="2" borderId="17" xfId="0" applyNumberFormat="1" applyFont="1" applyFill="1" applyBorder="1" applyAlignment="1" applyProtection="1">
      <alignment horizontal="center" vertical="center" wrapText="1"/>
      <protection hidden="1"/>
    </xf>
    <xf numFmtId="41" fontId="2" fillId="3" borderId="1" xfId="0" applyNumberFormat="1" applyFont="1" applyFill="1" applyBorder="1" applyAlignment="1" applyProtection="1">
      <alignment horizontal="center" wrapText="1"/>
      <protection hidden="1"/>
    </xf>
    <xf numFmtId="0" fontId="3" fillId="2" borderId="8" xfId="0" applyFont="1" applyFill="1" applyBorder="1" applyAlignment="1" applyProtection="1">
      <alignment horizontal="center" vertical="center" wrapText="1"/>
      <protection hidden="1"/>
    </xf>
    <xf numFmtId="0" fontId="3" fillId="2" borderId="17" xfId="0" applyFont="1" applyFill="1" applyBorder="1" applyAlignment="1" applyProtection="1">
      <alignment horizontal="center" vertical="center" wrapText="1"/>
      <protection hidden="1"/>
    </xf>
    <xf numFmtId="0" fontId="3" fillId="2" borderId="19" xfId="0" applyFont="1" applyFill="1" applyBorder="1" applyAlignment="1" applyProtection="1">
      <alignment horizontal="center" vertical="center" wrapText="1"/>
      <protection hidden="1"/>
    </xf>
    <xf numFmtId="0" fontId="3" fillId="2" borderId="20" xfId="0" applyFont="1" applyFill="1" applyBorder="1" applyAlignment="1" applyProtection="1">
      <alignment horizontal="center" vertical="center" wrapText="1"/>
      <protection hidden="1"/>
    </xf>
    <xf numFmtId="0" fontId="3" fillId="2" borderId="21" xfId="0" applyFont="1" applyFill="1" applyBorder="1" applyAlignment="1" applyProtection="1">
      <alignment horizontal="center" vertical="center" wrapText="1"/>
      <protection hidden="1"/>
    </xf>
    <xf numFmtId="41" fontId="2" fillId="3" borderId="19" xfId="0" applyNumberFormat="1" applyFont="1" applyFill="1" applyBorder="1" applyAlignment="1" applyProtection="1">
      <alignment horizontal="center" wrapText="1"/>
      <protection hidden="1"/>
    </xf>
    <xf numFmtId="41" fontId="2" fillId="3" borderId="20" xfId="0" applyNumberFormat="1" applyFont="1" applyFill="1" applyBorder="1" applyAlignment="1" applyProtection="1">
      <alignment horizontal="center" wrapText="1"/>
      <protection hidden="1"/>
    </xf>
    <xf numFmtId="41" fontId="2" fillId="3" borderId="21" xfId="0" applyNumberFormat="1" applyFont="1" applyFill="1" applyBorder="1" applyAlignment="1" applyProtection="1">
      <alignment horizontal="center" wrapText="1"/>
      <protection hidden="1"/>
    </xf>
    <xf numFmtId="41" fontId="2" fillId="7" borderId="22" xfId="0" applyNumberFormat="1" applyFont="1" applyFill="1" applyBorder="1" applyAlignment="1" applyProtection="1">
      <alignment horizontal="center" wrapText="1"/>
      <protection hidden="1"/>
    </xf>
    <xf numFmtId="41" fontId="2" fillId="7" borderId="30" xfId="0" applyNumberFormat="1" applyFont="1" applyFill="1" applyBorder="1" applyAlignment="1" applyProtection="1">
      <alignment horizontal="center" wrapText="1"/>
      <protection hidden="1"/>
    </xf>
    <xf numFmtId="41" fontId="2" fillId="3" borderId="5" xfId="0" applyNumberFormat="1" applyFont="1" applyFill="1" applyBorder="1" applyAlignment="1" applyProtection="1">
      <alignment horizontal="center" wrapText="1"/>
      <protection locked="0"/>
    </xf>
    <xf numFmtId="41" fontId="2" fillId="3" borderId="6" xfId="0" applyNumberFormat="1" applyFont="1" applyFill="1" applyBorder="1" applyAlignment="1" applyProtection="1">
      <alignment horizontal="center" wrapText="1"/>
      <protection locked="0"/>
    </xf>
    <xf numFmtId="41" fontId="2" fillId="3" borderId="7" xfId="0" applyNumberFormat="1" applyFont="1" applyFill="1" applyBorder="1" applyAlignment="1" applyProtection="1">
      <alignment horizontal="center" wrapText="1"/>
      <protection locked="0"/>
    </xf>
    <xf numFmtId="0" fontId="3" fillId="4" borderId="5" xfId="2" applyFont="1" applyFill="1" applyBorder="1" applyAlignment="1" applyProtection="1">
      <alignment horizontal="center"/>
      <protection hidden="1"/>
    </xf>
    <xf numFmtId="0" fontId="3" fillId="4" borderId="6" xfId="2" applyFont="1" applyFill="1" applyBorder="1" applyAlignment="1" applyProtection="1">
      <alignment horizontal="center"/>
      <protection hidden="1"/>
    </xf>
    <xf numFmtId="0" fontId="3" fillId="4" borderId="7" xfId="2" applyFont="1" applyFill="1" applyBorder="1" applyAlignment="1" applyProtection="1">
      <alignment horizontal="center"/>
      <protection hidden="1"/>
    </xf>
    <xf numFmtId="0" fontId="2" fillId="3" borderId="1" xfId="0" applyFont="1" applyFill="1" applyBorder="1" applyAlignment="1" applyProtection="1">
      <alignment horizontal="center" wrapText="1"/>
      <protection hidden="1"/>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3" borderId="5" xfId="0" applyFont="1" applyFill="1" applyBorder="1" applyAlignment="1" applyProtection="1">
      <alignment horizontal="left" wrapText="1" indent="1"/>
      <protection hidden="1"/>
    </xf>
    <xf numFmtId="0" fontId="2" fillId="3" borderId="6" xfId="0" applyFont="1" applyFill="1" applyBorder="1" applyAlignment="1" applyProtection="1">
      <alignment horizontal="left" wrapText="1" indent="1"/>
      <protection hidden="1"/>
    </xf>
    <xf numFmtId="0" fontId="2" fillId="3" borderId="7" xfId="0" applyFont="1" applyFill="1" applyBorder="1" applyAlignment="1" applyProtection="1">
      <alignment horizontal="left" wrapText="1" indent="1"/>
      <protection hidden="1"/>
    </xf>
    <xf numFmtId="0" fontId="2" fillId="3" borderId="8" xfId="0" applyFont="1" applyFill="1" applyBorder="1" applyAlignment="1" applyProtection="1">
      <alignment horizontal="center" wrapText="1"/>
      <protection hidden="1"/>
    </xf>
    <xf numFmtId="0" fontId="2" fillId="3" borderId="12" xfId="0" applyFont="1" applyFill="1" applyBorder="1" applyAlignment="1" applyProtection="1">
      <alignment horizontal="center" wrapText="1"/>
      <protection hidden="1"/>
    </xf>
    <xf numFmtId="0" fontId="2" fillId="3" borderId="17" xfId="0" applyFont="1" applyFill="1" applyBorder="1" applyAlignment="1" applyProtection="1">
      <alignment horizontal="center" wrapText="1"/>
      <protection hidden="1"/>
    </xf>
    <xf numFmtId="0" fontId="6" fillId="0" borderId="9" xfId="0" applyFont="1" applyFill="1" applyBorder="1" applyAlignment="1">
      <alignment horizontal="left" indent="2"/>
    </xf>
    <xf numFmtId="0" fontId="6" fillId="0" borderId="10" xfId="0" applyFont="1" applyFill="1" applyBorder="1" applyAlignment="1">
      <alignment horizontal="left" indent="2"/>
    </xf>
    <xf numFmtId="0" fontId="6" fillId="0" borderId="11" xfId="0" applyFont="1" applyFill="1" applyBorder="1" applyAlignment="1">
      <alignment horizontal="left" indent="2"/>
    </xf>
    <xf numFmtId="0" fontId="6" fillId="0" borderId="13" xfId="0" applyFont="1" applyFill="1" applyBorder="1" applyAlignment="1">
      <alignment horizontal="left" indent="2"/>
    </xf>
    <xf numFmtId="0" fontId="6" fillId="0" borderId="14" xfId="0" applyFont="1" applyFill="1" applyBorder="1" applyAlignment="1">
      <alignment horizontal="left" indent="2"/>
    </xf>
    <xf numFmtId="0" fontId="6" fillId="0" borderId="15" xfId="0" applyFont="1" applyFill="1" applyBorder="1" applyAlignment="1">
      <alignment horizontal="left" indent="2"/>
    </xf>
    <xf numFmtId="0" fontId="6" fillId="0" borderId="51" xfId="0" applyFont="1" applyFill="1" applyBorder="1" applyAlignment="1">
      <alignment horizontal="left" indent="2"/>
    </xf>
    <xf numFmtId="0" fontId="6" fillId="0" borderId="52" xfId="0" applyFont="1" applyFill="1" applyBorder="1" applyAlignment="1">
      <alignment horizontal="left" indent="2"/>
    </xf>
    <xf numFmtId="0" fontId="6" fillId="0" borderId="53" xfId="0" applyFont="1" applyFill="1" applyBorder="1" applyAlignment="1">
      <alignment horizontal="left" indent="2"/>
    </xf>
    <xf numFmtId="0" fontId="3" fillId="4" borderId="1" xfId="2" applyFont="1" applyFill="1" applyBorder="1" applyAlignment="1" applyProtection="1">
      <alignment horizontal="right" vertical="center" wrapText="1"/>
      <protection hidden="1"/>
    </xf>
    <xf numFmtId="0" fontId="3" fillId="4" borderId="5" xfId="2" applyFont="1" applyFill="1" applyBorder="1" applyAlignment="1" applyProtection="1">
      <alignment horizontal="right" vertical="center" wrapText="1"/>
      <protection hidden="1"/>
    </xf>
    <xf numFmtId="0" fontId="3" fillId="4" borderId="6" xfId="2" applyFont="1" applyFill="1" applyBorder="1" applyAlignment="1" applyProtection="1">
      <alignment horizontal="right" vertical="center" wrapText="1"/>
      <protection hidden="1"/>
    </xf>
    <xf numFmtId="0" fontId="3" fillId="4" borderId="7" xfId="2" applyFont="1" applyFill="1" applyBorder="1" applyAlignment="1" applyProtection="1">
      <alignment horizontal="right" vertical="center" wrapText="1"/>
      <protection hidden="1"/>
    </xf>
    <xf numFmtId="0" fontId="2" fillId="2" borderId="1" xfId="0" applyFont="1" applyFill="1" applyBorder="1" applyAlignment="1">
      <alignment horizontal="center" vertical="center"/>
    </xf>
    <xf numFmtId="0" fontId="3" fillId="4" borderId="5" xfId="2" applyFont="1" applyFill="1" applyBorder="1" applyAlignment="1" applyProtection="1">
      <alignment horizontal="left" vertical="center" wrapText="1"/>
      <protection hidden="1"/>
    </xf>
    <xf numFmtId="0" fontId="3" fillId="4" borderId="6" xfId="2" applyFont="1" applyFill="1" applyBorder="1" applyAlignment="1" applyProtection="1">
      <alignment horizontal="left" vertical="center" wrapText="1"/>
      <protection hidden="1"/>
    </xf>
    <xf numFmtId="0" fontId="3" fillId="4" borderId="7" xfId="2" applyFont="1" applyFill="1" applyBorder="1" applyAlignment="1" applyProtection="1">
      <alignment horizontal="left" vertical="center" wrapText="1"/>
      <protection hidden="1"/>
    </xf>
    <xf numFmtId="164" fontId="0" fillId="4" borderId="2" xfId="1" applyNumberFormat="1" applyFont="1" applyFill="1" applyBorder="1" applyAlignment="1">
      <alignment horizontal="center"/>
    </xf>
    <xf numFmtId="164" fontId="0" fillId="4" borderId="3" xfId="1" applyNumberFormat="1" applyFont="1" applyFill="1" applyBorder="1" applyAlignment="1">
      <alignment horizontal="center"/>
    </xf>
    <xf numFmtId="164" fontId="0" fillId="4" borderId="16" xfId="1" applyNumberFormat="1" applyFont="1" applyFill="1" applyBorder="1" applyAlignment="1">
      <alignment horizontal="center"/>
    </xf>
    <xf numFmtId="0" fontId="0" fillId="0" borderId="63" xfId="0" applyFill="1" applyBorder="1" applyAlignment="1">
      <alignment horizontal="left" indent="2"/>
    </xf>
    <xf numFmtId="0" fontId="0" fillId="0" borderId="64" xfId="0" applyFill="1" applyBorder="1" applyAlignment="1">
      <alignment horizontal="left" indent="2"/>
    </xf>
    <xf numFmtId="0" fontId="0" fillId="0" borderId="65" xfId="0" applyFill="1" applyBorder="1" applyAlignment="1">
      <alignment horizontal="left" indent="2"/>
    </xf>
    <xf numFmtId="0" fontId="0" fillId="0" borderId="13" xfId="0" applyFill="1" applyBorder="1" applyAlignment="1">
      <alignment horizontal="left" indent="2"/>
    </xf>
    <xf numFmtId="0" fontId="0" fillId="0" borderId="14" xfId="0" applyBorder="1" applyAlignment="1">
      <alignment horizontal="left" indent="2"/>
    </xf>
    <xf numFmtId="0" fontId="0" fillId="0" borderId="15" xfId="0" applyBorder="1" applyAlignment="1">
      <alignment horizontal="left" indent="2"/>
    </xf>
    <xf numFmtId="0" fontId="0" fillId="0" borderId="66" xfId="0" applyFill="1" applyBorder="1" applyAlignment="1">
      <alignment horizontal="left" indent="2"/>
    </xf>
    <xf numFmtId="0" fontId="0" fillId="0" borderId="67" xfId="0" applyBorder="1" applyAlignment="1">
      <alignment horizontal="left" indent="2"/>
    </xf>
    <xf numFmtId="0" fontId="0" fillId="0" borderId="68" xfId="0" applyBorder="1" applyAlignment="1">
      <alignment horizontal="left" indent="2"/>
    </xf>
    <xf numFmtId="0" fontId="0" fillId="0" borderId="63" xfId="0" applyFill="1" applyBorder="1" applyAlignment="1">
      <alignment horizontal="left" indent="1"/>
    </xf>
    <xf numFmtId="0" fontId="0" fillId="0" borderId="64" xfId="0" applyFill="1" applyBorder="1" applyAlignment="1">
      <alignment horizontal="left" indent="1"/>
    </xf>
    <xf numFmtId="0" fontId="0" fillId="0" borderId="65" xfId="0" applyFill="1" applyBorder="1" applyAlignment="1">
      <alignment horizontal="left" indent="1"/>
    </xf>
    <xf numFmtId="43" fontId="2" fillId="3" borderId="1" xfId="0" applyNumberFormat="1" applyFont="1" applyFill="1" applyBorder="1" applyAlignment="1" applyProtection="1">
      <alignment horizontal="center" wrapText="1"/>
      <protection hidden="1"/>
    </xf>
    <xf numFmtId="0" fontId="6" fillId="0" borderId="63" xfId="0" applyFont="1" applyFill="1" applyBorder="1" applyAlignment="1">
      <alignment horizontal="left" indent="1"/>
    </xf>
    <xf numFmtId="0" fontId="6" fillId="0" borderId="64" xfId="0" applyFont="1" applyFill="1" applyBorder="1" applyAlignment="1">
      <alignment horizontal="left" indent="1"/>
    </xf>
    <xf numFmtId="0" fontId="6" fillId="0" borderId="65" xfId="0" applyFont="1" applyFill="1" applyBorder="1" applyAlignment="1">
      <alignment horizontal="left" indent="1"/>
    </xf>
    <xf numFmtId="41" fontId="3" fillId="4" borderId="5" xfId="2" applyNumberFormat="1" applyFont="1" applyFill="1" applyBorder="1" applyAlignment="1" applyProtection="1">
      <alignment horizontal="center" wrapText="1"/>
      <protection locked="0"/>
    </xf>
    <xf numFmtId="41" fontId="3" fillId="4" borderId="6" xfId="2" applyNumberFormat="1" applyFont="1" applyFill="1" applyBorder="1" applyAlignment="1" applyProtection="1">
      <alignment horizontal="center" wrapText="1"/>
      <protection locked="0"/>
    </xf>
    <xf numFmtId="41" fontId="3" fillId="4" borderId="7" xfId="2" applyNumberFormat="1" applyFont="1" applyFill="1" applyBorder="1" applyAlignment="1" applyProtection="1">
      <alignment horizontal="center" wrapText="1"/>
      <protection locked="0"/>
    </xf>
    <xf numFmtId="41" fontId="0" fillId="4" borderId="8" xfId="0" applyNumberFormat="1" applyFill="1" applyBorder="1" applyAlignment="1" applyProtection="1">
      <alignment horizontal="center"/>
      <protection hidden="1"/>
    </xf>
    <xf numFmtId="41" fontId="0" fillId="4" borderId="17" xfId="0" applyNumberFormat="1" applyFill="1" applyBorder="1" applyAlignment="1" applyProtection="1">
      <alignment horizontal="center"/>
      <protection hidden="1"/>
    </xf>
    <xf numFmtId="41" fontId="2" fillId="0" borderId="5" xfId="0" applyNumberFormat="1" applyFont="1" applyBorder="1" applyAlignment="1" applyProtection="1">
      <alignment horizontal="left" wrapText="1"/>
      <protection hidden="1"/>
    </xf>
    <xf numFmtId="41" fontId="2" fillId="0" borderId="6" xfId="0" applyNumberFormat="1" applyFont="1" applyBorder="1" applyAlignment="1" applyProtection="1">
      <alignment horizontal="left" wrapText="1"/>
      <protection hidden="1"/>
    </xf>
    <xf numFmtId="41" fontId="2" fillId="0" borderId="7" xfId="0" applyNumberFormat="1" applyFont="1" applyBorder="1" applyAlignment="1" applyProtection="1">
      <alignment horizontal="left" wrapText="1"/>
      <protection hidden="1"/>
    </xf>
    <xf numFmtId="41" fontId="3" fillId="4" borderId="5" xfId="2" applyNumberFormat="1" applyFont="1" applyFill="1" applyBorder="1" applyAlignment="1" applyProtection="1">
      <alignment horizontal="right" wrapText="1"/>
      <protection hidden="1"/>
    </xf>
    <xf numFmtId="41" fontId="3" fillId="4" borderId="6" xfId="2" applyNumberFormat="1" applyFont="1" applyFill="1" applyBorder="1" applyAlignment="1" applyProtection="1">
      <alignment horizontal="right" wrapText="1"/>
      <protection hidden="1"/>
    </xf>
    <xf numFmtId="41" fontId="0" fillId="4" borderId="8" xfId="0" applyNumberFormat="1" applyFill="1" applyBorder="1" applyAlignment="1" applyProtection="1">
      <alignment horizontal="center"/>
      <protection locked="0"/>
    </xf>
    <xf numFmtId="41" fontId="0" fillId="4" borderId="12" xfId="0" applyNumberFormat="1" applyFill="1" applyBorder="1" applyAlignment="1" applyProtection="1">
      <alignment horizontal="center"/>
      <protection locked="0"/>
    </xf>
    <xf numFmtId="41" fontId="0" fillId="4" borderId="17" xfId="0" applyNumberFormat="1" applyFill="1" applyBorder="1" applyAlignment="1" applyProtection="1">
      <alignment horizontal="center"/>
      <protection locked="0"/>
    </xf>
    <xf numFmtId="41" fontId="0" fillId="0" borderId="69" xfId="0" applyNumberFormat="1" applyBorder="1" applyAlignment="1" applyProtection="1">
      <alignment horizontal="left"/>
      <protection hidden="1"/>
    </xf>
    <xf numFmtId="41" fontId="0" fillId="0" borderId="70" xfId="0" applyNumberFormat="1" applyBorder="1" applyAlignment="1" applyProtection="1">
      <alignment horizontal="left"/>
      <protection hidden="1"/>
    </xf>
    <xf numFmtId="41" fontId="0" fillId="0" borderId="71" xfId="0" applyNumberFormat="1" applyBorder="1" applyAlignment="1" applyProtection="1">
      <alignment horizontal="left"/>
      <protection hidden="1"/>
    </xf>
    <xf numFmtId="41" fontId="0" fillId="0" borderId="72" xfId="0" applyNumberFormat="1" applyBorder="1" applyAlignment="1" applyProtection="1">
      <alignment horizontal="left"/>
      <protection hidden="1"/>
    </xf>
    <xf numFmtId="41" fontId="0" fillId="0" borderId="73" xfId="0" applyNumberFormat="1" applyBorder="1" applyAlignment="1" applyProtection="1">
      <alignment horizontal="left"/>
      <protection hidden="1"/>
    </xf>
    <xf numFmtId="41" fontId="0" fillId="0" borderId="74" xfId="0" applyNumberFormat="1" applyBorder="1" applyAlignment="1" applyProtection="1">
      <alignment horizontal="left"/>
      <protection hidden="1"/>
    </xf>
    <xf numFmtId="41" fontId="2" fillId="3" borderId="5" xfId="0" applyNumberFormat="1" applyFont="1" applyFill="1" applyBorder="1" applyAlignment="1" applyProtection="1">
      <alignment horizontal="right" wrapText="1"/>
      <protection hidden="1"/>
    </xf>
    <xf numFmtId="41" fontId="2" fillId="3" borderId="6" xfId="0" applyNumberFormat="1" applyFont="1" applyFill="1" applyBorder="1" applyAlignment="1" applyProtection="1">
      <alignment horizontal="right" wrapText="1"/>
      <protection hidden="1"/>
    </xf>
    <xf numFmtId="41" fontId="2" fillId="3" borderId="7" xfId="0" applyNumberFormat="1" applyFont="1" applyFill="1" applyBorder="1" applyAlignment="1" applyProtection="1">
      <alignment horizontal="right" wrapText="1"/>
      <protection hidden="1"/>
    </xf>
    <xf numFmtId="41" fontId="2" fillId="3" borderId="5" xfId="0" applyNumberFormat="1" applyFont="1" applyFill="1" applyBorder="1" applyAlignment="1" applyProtection="1">
      <alignment horizontal="center" vertical="center" wrapText="1"/>
      <protection hidden="1"/>
    </xf>
    <xf numFmtId="41" fontId="2" fillId="8" borderId="6" xfId="0" applyNumberFormat="1" applyFont="1" applyFill="1" applyBorder="1" applyAlignment="1" applyProtection="1">
      <alignment horizontal="center" vertical="center" wrapText="1"/>
      <protection hidden="1"/>
    </xf>
    <xf numFmtId="41" fontId="2" fillId="8" borderId="7" xfId="0" applyNumberFormat="1" applyFont="1" applyFill="1" applyBorder="1" applyAlignment="1" applyProtection="1">
      <alignment horizontal="center" vertical="center" wrapText="1"/>
      <protection hidden="1"/>
    </xf>
    <xf numFmtId="0" fontId="22" fillId="10" borderId="0" xfId="0" applyFont="1" applyFill="1" applyAlignment="1">
      <alignment horizontal="center"/>
    </xf>
    <xf numFmtId="14" fontId="3" fillId="2" borderId="19" xfId="0" applyNumberFormat="1" applyFont="1" applyFill="1" applyBorder="1" applyAlignment="1" applyProtection="1">
      <alignment horizontal="center" vertical="center" wrapText="1"/>
      <protection hidden="1"/>
    </xf>
    <xf numFmtId="14" fontId="3" fillId="2" borderId="20" xfId="0" applyNumberFormat="1" applyFont="1" applyFill="1" applyBorder="1" applyAlignment="1" applyProtection="1">
      <alignment horizontal="center" vertical="center" wrapText="1"/>
      <protection hidden="1"/>
    </xf>
    <xf numFmtId="14" fontId="3" fillId="2" borderId="21" xfId="0" applyNumberFormat="1" applyFont="1" applyFill="1" applyBorder="1" applyAlignment="1" applyProtection="1">
      <alignment horizontal="center" vertical="center" wrapText="1"/>
      <protection hidden="1"/>
    </xf>
    <xf numFmtId="14" fontId="3" fillId="2" borderId="5" xfId="0" applyNumberFormat="1" applyFont="1" applyFill="1" applyBorder="1" applyAlignment="1" applyProtection="1">
      <alignment horizontal="center" vertical="center" wrapText="1"/>
      <protection hidden="1"/>
    </xf>
    <xf numFmtId="14" fontId="3" fillId="2" borderId="6" xfId="0" applyNumberFormat="1" applyFont="1" applyFill="1" applyBorder="1" applyAlignment="1" applyProtection="1">
      <alignment horizontal="center" vertical="center" wrapText="1"/>
      <protection hidden="1"/>
    </xf>
    <xf numFmtId="14" fontId="3" fillId="2" borderId="7" xfId="0" applyNumberFormat="1" applyFont="1" applyFill="1" applyBorder="1" applyAlignment="1" applyProtection="1">
      <alignment horizontal="center" vertical="center" wrapText="1"/>
      <protection hidden="1"/>
    </xf>
    <xf numFmtId="14" fontId="3" fillId="2" borderId="8" xfId="0" applyNumberFormat="1" applyFont="1" applyFill="1" applyBorder="1" applyAlignment="1" applyProtection="1">
      <alignment horizontal="center" vertical="center" wrapText="1"/>
      <protection hidden="1"/>
    </xf>
    <xf numFmtId="14" fontId="3" fillId="2" borderId="17" xfId="0" applyNumberFormat="1" applyFont="1" applyFill="1" applyBorder="1" applyAlignment="1" applyProtection="1">
      <alignment horizontal="center" vertical="center" wrapText="1"/>
      <protection hidden="1"/>
    </xf>
    <xf numFmtId="49" fontId="3" fillId="2" borderId="5" xfId="0" applyNumberFormat="1" applyFont="1" applyFill="1" applyBorder="1" applyAlignment="1" applyProtection="1">
      <alignment horizontal="center" vertical="center" wrapText="1"/>
      <protection hidden="1"/>
    </xf>
    <xf numFmtId="49" fontId="3" fillId="2" borderId="6" xfId="0" applyNumberFormat="1" applyFont="1" applyFill="1" applyBorder="1" applyAlignment="1" applyProtection="1">
      <alignment horizontal="center" vertical="center" wrapText="1"/>
      <protection hidden="1"/>
    </xf>
    <xf numFmtId="49" fontId="3" fillId="2" borderId="7" xfId="0" applyNumberFormat="1" applyFont="1" applyFill="1" applyBorder="1" applyAlignment="1" applyProtection="1">
      <alignment horizontal="center" vertical="center" wrapText="1"/>
      <protection hidden="1"/>
    </xf>
    <xf numFmtId="0" fontId="2" fillId="2" borderId="1" xfId="0" applyFont="1" applyFill="1" applyBorder="1" applyAlignment="1">
      <alignment horizontal="center"/>
    </xf>
    <xf numFmtId="0" fontId="3" fillId="2" borderId="18" xfId="0" applyFont="1" applyFill="1" applyBorder="1" applyAlignment="1" applyProtection="1">
      <alignment horizontal="center" vertical="center" wrapText="1"/>
      <protection hidden="1"/>
    </xf>
    <xf numFmtId="0" fontId="3" fillId="2" borderId="3" xfId="0" applyFont="1" applyFill="1" applyBorder="1" applyAlignment="1" applyProtection="1">
      <alignment horizontal="center" vertical="center" wrapText="1"/>
      <protection hidden="1"/>
    </xf>
    <xf numFmtId="0" fontId="3" fillId="2" borderId="4" xfId="0"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4" fontId="2" fillId="3" borderId="1" xfId="0" applyNumberFormat="1" applyFont="1" applyFill="1" applyBorder="1" applyAlignment="1" applyProtection="1">
      <alignment horizontal="center" wrapText="1"/>
      <protection hidden="1"/>
    </xf>
    <xf numFmtId="0" fontId="8" fillId="0" borderId="0" xfId="0" applyFont="1" applyAlignment="1">
      <alignment horizontal="center" vertical="center" wrapText="1"/>
    </xf>
    <xf numFmtId="0" fontId="2" fillId="2" borderId="1" xfId="0" applyFont="1" applyFill="1" applyBorder="1" applyAlignment="1">
      <alignment horizontal="center" wrapText="1"/>
    </xf>
    <xf numFmtId="0" fontId="9" fillId="2" borderId="1" xfId="0" applyFont="1" applyFill="1" applyBorder="1" applyAlignment="1">
      <alignment horizontal="center" vertical="center"/>
    </xf>
    <xf numFmtId="0" fontId="3" fillId="2" borderId="12" xfId="0" applyFont="1" applyFill="1" applyBorder="1" applyAlignment="1" applyProtection="1">
      <alignment horizontal="center" vertical="center" wrapText="1"/>
      <protection hidden="1"/>
    </xf>
    <xf numFmtId="0" fontId="3" fillId="2" borderId="30" xfId="0" applyFont="1" applyFill="1" applyBorder="1" applyAlignment="1" applyProtection="1">
      <alignment horizontal="center" vertical="center" wrapText="1"/>
      <protection hidden="1"/>
    </xf>
    <xf numFmtId="0" fontId="3" fillId="2" borderId="27" xfId="0" applyFont="1" applyFill="1" applyBorder="1" applyAlignment="1" applyProtection="1">
      <alignment horizontal="center" vertical="center" wrapText="1"/>
      <protection hidden="1"/>
    </xf>
    <xf numFmtId="0" fontId="3" fillId="2" borderId="31" xfId="0" applyFont="1" applyFill="1" applyBorder="1" applyAlignment="1" applyProtection="1">
      <alignment horizontal="center" vertical="center" wrapText="1"/>
      <protection hidden="1"/>
    </xf>
    <xf numFmtId="14" fontId="3" fillId="2" borderId="31" xfId="0" applyNumberFormat="1" applyFont="1" applyFill="1" applyBorder="1" applyAlignment="1" applyProtection="1">
      <alignment horizontal="center" vertical="center" wrapText="1"/>
      <protection hidden="1"/>
    </xf>
    <xf numFmtId="43" fontId="2" fillId="3" borderId="19" xfId="0" applyNumberFormat="1" applyFont="1" applyFill="1" applyBorder="1" applyAlignment="1" applyProtection="1">
      <alignment horizontal="center" wrapText="1"/>
      <protection hidden="1"/>
    </xf>
    <xf numFmtId="43" fontId="2" fillId="3" borderId="20" xfId="0" applyNumberFormat="1" applyFont="1" applyFill="1" applyBorder="1" applyAlignment="1" applyProtection="1">
      <alignment horizontal="center" wrapText="1"/>
      <protection hidden="1"/>
    </xf>
    <xf numFmtId="43" fontId="2" fillId="3" borderId="21" xfId="0" applyNumberFormat="1" applyFont="1" applyFill="1" applyBorder="1" applyAlignment="1" applyProtection="1">
      <alignment horizontal="center" wrapText="1"/>
      <protection hidden="1"/>
    </xf>
    <xf numFmtId="43" fontId="2" fillId="3" borderId="22" xfId="0" applyNumberFormat="1" applyFont="1" applyFill="1" applyBorder="1" applyAlignment="1" applyProtection="1">
      <alignment horizontal="center" wrapText="1"/>
      <protection hidden="1"/>
    </xf>
    <xf numFmtId="43" fontId="2" fillId="3" borderId="0" xfId="0" applyNumberFormat="1" applyFont="1" applyFill="1" applyBorder="1" applyAlignment="1" applyProtection="1">
      <alignment horizontal="center" wrapText="1"/>
      <protection hidden="1"/>
    </xf>
    <xf numFmtId="43" fontId="2" fillId="3" borderId="23" xfId="0" applyNumberFormat="1" applyFont="1" applyFill="1" applyBorder="1" applyAlignment="1" applyProtection="1">
      <alignment horizontal="center" wrapText="1"/>
      <protection hidden="1"/>
    </xf>
    <xf numFmtId="43" fontId="2" fillId="3" borderId="30" xfId="0" applyNumberFormat="1" applyFont="1" applyFill="1" applyBorder="1" applyAlignment="1" applyProtection="1">
      <alignment horizontal="center" wrapText="1"/>
      <protection hidden="1"/>
    </xf>
    <xf numFmtId="43" fontId="2" fillId="3" borderId="27" xfId="0" applyNumberFormat="1" applyFont="1" applyFill="1" applyBorder="1" applyAlignment="1" applyProtection="1">
      <alignment horizontal="center" wrapText="1"/>
      <protection hidden="1"/>
    </xf>
    <xf numFmtId="43" fontId="2" fillId="3" borderId="31" xfId="0" applyNumberFormat="1" applyFont="1" applyFill="1" applyBorder="1" applyAlignment="1" applyProtection="1">
      <alignment horizontal="center" wrapText="1"/>
      <protection hidden="1"/>
    </xf>
    <xf numFmtId="43" fontId="2" fillId="3" borderId="12" xfId="0" applyNumberFormat="1" applyFont="1" applyFill="1" applyBorder="1" applyAlignment="1" applyProtection="1">
      <alignment horizontal="center" wrapText="1"/>
      <protection hidden="1"/>
    </xf>
    <xf numFmtId="43" fontId="3" fillId="2" borderId="1" xfId="0" applyNumberFormat="1" applyFont="1" applyFill="1" applyBorder="1" applyAlignment="1" applyProtection="1">
      <alignment horizontal="center" vertical="center" wrapText="1"/>
      <protection hidden="1"/>
    </xf>
    <xf numFmtId="43" fontId="3" fillId="2" borderId="8" xfId="0" applyNumberFormat="1" applyFont="1" applyFill="1" applyBorder="1" applyAlignment="1" applyProtection="1">
      <alignment horizontal="center" vertical="center" wrapText="1"/>
      <protection hidden="1"/>
    </xf>
    <xf numFmtId="43" fontId="3" fillId="2" borderId="18" xfId="0" applyNumberFormat="1" applyFont="1" applyFill="1" applyBorder="1" applyAlignment="1" applyProtection="1">
      <alignment horizontal="center" vertical="center" wrapText="1"/>
      <protection hidden="1"/>
    </xf>
    <xf numFmtId="43" fontId="3" fillId="2" borderId="3" xfId="0" applyNumberFormat="1" applyFont="1" applyFill="1" applyBorder="1" applyAlignment="1" applyProtection="1">
      <alignment horizontal="center" vertical="center" wrapText="1"/>
      <protection hidden="1"/>
    </xf>
    <xf numFmtId="43" fontId="3" fillId="2" borderId="4" xfId="0" applyNumberFormat="1" applyFont="1" applyFill="1" applyBorder="1" applyAlignment="1" applyProtection="1">
      <alignment horizontal="center" vertical="center" wrapText="1"/>
      <protection hidden="1"/>
    </xf>
    <xf numFmtId="43" fontId="2" fillId="3" borderId="5" xfId="0" applyNumberFormat="1" applyFont="1" applyFill="1" applyBorder="1" applyAlignment="1" applyProtection="1">
      <alignment horizontal="center" wrapText="1"/>
      <protection hidden="1"/>
    </xf>
    <xf numFmtId="43" fontId="2" fillId="3" borderId="6" xfId="0" applyNumberFormat="1" applyFont="1" applyFill="1" applyBorder="1" applyAlignment="1" applyProtection="1">
      <alignment horizontal="center" wrapText="1"/>
      <protection hidden="1"/>
    </xf>
    <xf numFmtId="43" fontId="2" fillId="3" borderId="7" xfId="0" applyNumberFormat="1" applyFont="1" applyFill="1" applyBorder="1" applyAlignment="1" applyProtection="1">
      <alignment horizontal="center" wrapText="1"/>
      <protection hidden="1"/>
    </xf>
    <xf numFmtId="0" fontId="0" fillId="0" borderId="0" xfId="0" applyFont="1" applyAlignment="1" applyProtection="1">
      <alignment horizontal="center"/>
      <protection locked="0"/>
    </xf>
    <xf numFmtId="0" fontId="2" fillId="2" borderId="1" xfId="0" applyFont="1" applyFill="1" applyBorder="1" applyAlignment="1">
      <alignment horizontal="center" vertical="center" wrapText="1"/>
    </xf>
    <xf numFmtId="0" fontId="0" fillId="0" borderId="0" xfId="0" applyFont="1" applyAlignment="1">
      <alignment horizontal="center" vertical="center" wrapText="1"/>
    </xf>
    <xf numFmtId="0" fontId="3" fillId="2" borderId="24" xfId="0" applyFont="1" applyFill="1" applyBorder="1" applyAlignment="1" applyProtection="1">
      <alignment horizontal="center" vertical="center" wrapText="1"/>
      <protection hidden="1"/>
    </xf>
    <xf numFmtId="0" fontId="3" fillId="2" borderId="25" xfId="0" applyFont="1" applyFill="1" applyBorder="1" applyAlignment="1" applyProtection="1">
      <alignment horizontal="center" vertical="center" wrapText="1"/>
      <protection hidden="1"/>
    </xf>
    <xf numFmtId="0" fontId="3" fillId="2" borderId="26" xfId="0" applyFont="1" applyFill="1" applyBorder="1" applyAlignment="1" applyProtection="1">
      <alignment horizontal="center" vertical="center" wrapText="1"/>
      <protection hidden="1"/>
    </xf>
    <xf numFmtId="0" fontId="0" fillId="0" borderId="0" xfId="0" applyAlignment="1" applyProtection="1">
      <alignment horizontal="center"/>
      <protection locked="0"/>
    </xf>
    <xf numFmtId="0" fontId="2" fillId="2" borderId="5" xfId="0" applyFont="1" applyFill="1" applyBorder="1" applyAlignment="1">
      <alignment horizontal="center"/>
    </xf>
    <xf numFmtId="0" fontId="2" fillId="2" borderId="6" xfId="0" applyFont="1" applyFill="1" applyBorder="1" applyAlignment="1">
      <alignment horizontal="center"/>
    </xf>
    <xf numFmtId="0" fontId="3" fillId="4" borderId="5" xfId="2" applyFont="1" applyFill="1" applyBorder="1" applyAlignment="1" applyProtection="1">
      <alignment horizontal="right" vertical="center" indent="1"/>
      <protection hidden="1"/>
    </xf>
    <xf numFmtId="0" fontId="0" fillId="0" borderId="6" xfId="0" applyBorder="1" applyAlignment="1">
      <alignment horizontal="right" vertical="center" indent="1"/>
    </xf>
    <xf numFmtId="0" fontId="0" fillId="0" borderId="7" xfId="0" applyBorder="1" applyAlignment="1">
      <alignment horizontal="right" vertical="center" indent="1"/>
    </xf>
    <xf numFmtId="0" fontId="3" fillId="4" borderId="6" xfId="2" applyFont="1" applyFill="1" applyBorder="1" applyAlignment="1" applyProtection="1">
      <alignment horizontal="right" vertical="center" indent="1"/>
      <protection hidden="1"/>
    </xf>
    <xf numFmtId="0" fontId="3" fillId="4" borderId="7" xfId="2" applyFont="1" applyFill="1" applyBorder="1" applyAlignment="1" applyProtection="1">
      <alignment horizontal="right" vertical="center" indent="1"/>
      <protection hidden="1"/>
    </xf>
    <xf numFmtId="43" fontId="3" fillId="2" borderId="16" xfId="0" applyNumberFormat="1" applyFont="1" applyFill="1" applyBorder="1" applyAlignment="1" applyProtection="1">
      <alignment horizontal="center" vertical="center" wrapText="1"/>
      <protection hidden="1"/>
    </xf>
    <xf numFmtId="0" fontId="2" fillId="2" borderId="8" xfId="0" applyFont="1" applyFill="1" applyBorder="1" applyAlignment="1">
      <alignment horizontal="center" vertical="center"/>
    </xf>
    <xf numFmtId="0" fontId="2" fillId="2" borderId="17" xfId="0" applyFont="1" applyFill="1" applyBorder="1" applyAlignment="1">
      <alignment horizontal="center" vertical="center"/>
    </xf>
    <xf numFmtId="0" fontId="0" fillId="0" borderId="66" xfId="0" applyFont="1" applyBorder="1" applyAlignment="1">
      <alignment horizontal="left" vertical="center" indent="1"/>
    </xf>
    <xf numFmtId="0" fontId="0" fillId="0" borderId="67" xfId="0" applyFont="1" applyBorder="1" applyAlignment="1">
      <alignment horizontal="left" vertical="center" indent="1"/>
    </xf>
    <xf numFmtId="0" fontId="0" fillId="0" borderId="68" xfId="0" applyFont="1" applyBorder="1" applyAlignment="1">
      <alignment horizontal="left" vertical="center" indent="1"/>
    </xf>
    <xf numFmtId="0" fontId="0" fillId="0" borderId="32" xfId="0" applyFont="1" applyBorder="1" applyAlignment="1">
      <alignment vertical="center" wrapText="1"/>
    </xf>
    <xf numFmtId="165" fontId="2" fillId="2" borderId="8" xfId="0" applyNumberFormat="1" applyFont="1" applyFill="1" applyBorder="1" applyAlignment="1">
      <alignment horizontal="center" vertical="center"/>
    </xf>
    <xf numFmtId="165" fontId="2" fillId="2" borderId="17" xfId="0" applyNumberFormat="1" applyFont="1" applyFill="1" applyBorder="1" applyAlignment="1">
      <alignment horizontal="center" vertical="center"/>
    </xf>
    <xf numFmtId="0" fontId="3" fillId="2" borderId="1" xfId="0" applyFont="1" applyFill="1" applyBorder="1" applyAlignment="1" applyProtection="1">
      <alignment horizontal="center" vertical="center"/>
      <protection hidden="1"/>
    </xf>
    <xf numFmtId="0" fontId="0" fillId="0" borderId="13" xfId="0" applyFont="1" applyBorder="1" applyAlignment="1">
      <alignment horizontal="left" vertical="center" indent="1"/>
    </xf>
    <xf numFmtId="0" fontId="0" fillId="0" borderId="14" xfId="0" applyFont="1" applyBorder="1" applyAlignment="1">
      <alignment horizontal="left" vertical="center" indent="1"/>
    </xf>
    <xf numFmtId="0" fontId="0" fillId="0" borderId="15" xfId="0" applyFont="1" applyBorder="1" applyAlignment="1">
      <alignment horizontal="left" vertical="center" indent="1"/>
    </xf>
    <xf numFmtId="0" fontId="0" fillId="0" borderId="63" xfId="0" applyFont="1" applyBorder="1" applyAlignment="1">
      <alignment horizontal="left" vertical="center" indent="1"/>
    </xf>
    <xf numFmtId="0" fontId="0" fillId="0" borderId="64" xfId="0" applyFont="1" applyBorder="1" applyAlignment="1">
      <alignment horizontal="left" vertical="center" indent="1"/>
    </xf>
    <xf numFmtId="0" fontId="0" fillId="0" borderId="65" xfId="0" applyFont="1" applyBorder="1" applyAlignment="1">
      <alignment horizontal="left" vertical="center" indent="1"/>
    </xf>
    <xf numFmtId="0" fontId="0" fillId="0" borderId="13" xfId="0" applyFont="1" applyBorder="1" applyAlignment="1">
      <alignment horizontal="left" vertical="center" wrapText="1" indent="1"/>
    </xf>
    <xf numFmtId="0" fontId="0" fillId="0" borderId="14" xfId="0" applyFont="1" applyBorder="1" applyAlignment="1">
      <alignment horizontal="left" vertical="center" wrapText="1" indent="1"/>
    </xf>
    <xf numFmtId="0" fontId="0" fillId="0" borderId="15" xfId="0" applyFont="1" applyBorder="1" applyAlignment="1">
      <alignment horizontal="left" vertical="center" wrapText="1" indent="1"/>
    </xf>
  </cellXfs>
  <cellStyles count="6">
    <cellStyle name="Comma" xfId="1" builtinId="3"/>
    <cellStyle name="Currency" xfId="5" builtinId="4"/>
    <cellStyle name="Hyperlink" xfId="3" builtinId="8"/>
    <cellStyle name="Normal" xfId="0" builtinId="0"/>
    <cellStyle name="Normal 10" xfId="2" xr:uid="{00000000-0005-0000-0000-000004000000}"/>
    <cellStyle name="Normal_Sheet2" xfId="4" xr:uid="{00000000-0005-0000-0000-000005000000}"/>
  </cellStyles>
  <dxfs count="59">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dxf>
  </dxfs>
  <tableStyles count="0" defaultTableStyle="TableStyleMedium2" defaultPivotStyle="PivotStyleLight16"/>
  <colors>
    <mruColors>
      <color rgb="FFDCE9F2"/>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209551</xdr:colOff>
      <xdr:row>6</xdr:row>
      <xdr:rowOff>137834</xdr:rowOff>
    </xdr:from>
    <xdr:to>
      <xdr:col>3</xdr:col>
      <xdr:colOff>1162051</xdr:colOff>
      <xdr:row>6</xdr:row>
      <xdr:rowOff>384363</xdr:rowOff>
    </xdr:to>
    <xdr:sp macro="[0]!home" textlink="">
      <xdr:nvSpPr>
        <xdr:cNvPr id="2" name="Rectangle 1">
          <a:extLst>
            <a:ext uri="{FF2B5EF4-FFF2-40B4-BE49-F238E27FC236}">
              <a16:creationId xmlns:a16="http://schemas.microsoft.com/office/drawing/2014/main" id="{00000000-0008-0000-0000-000002000000}"/>
            </a:ext>
          </a:extLst>
        </xdr:cNvPr>
        <xdr:cNvSpPr/>
      </xdr:nvSpPr>
      <xdr:spPr>
        <a:xfrm>
          <a:off x="419101" y="137834"/>
          <a:ext cx="952500" cy="246529"/>
        </a:xfrm>
        <a:prstGeom prst="rect">
          <a:avLst/>
        </a:prstGeom>
        <a:effectLst/>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1404109</xdr:colOff>
      <xdr:row>6</xdr:row>
      <xdr:rowOff>133350</xdr:rowOff>
    </xdr:from>
    <xdr:to>
      <xdr:col>4</xdr:col>
      <xdr:colOff>142876</xdr:colOff>
      <xdr:row>6</xdr:row>
      <xdr:rowOff>379879</xdr:rowOff>
    </xdr:to>
    <xdr:sp macro="[0]!'ValidateGeneralInfo 1'" textlink="">
      <xdr:nvSpPr>
        <xdr:cNvPr id="3" name="Rectangle 2">
          <a:extLst>
            <a:ext uri="{FF2B5EF4-FFF2-40B4-BE49-F238E27FC236}">
              <a16:creationId xmlns:a16="http://schemas.microsoft.com/office/drawing/2014/main" id="{00000000-0008-0000-0000-000003000000}"/>
            </a:ext>
          </a:extLst>
        </xdr:cNvPr>
        <xdr:cNvSpPr/>
      </xdr:nvSpPr>
      <xdr:spPr>
        <a:xfrm>
          <a:off x="1613659" y="133350"/>
          <a:ext cx="958092" cy="246529"/>
        </a:xfrm>
        <a:prstGeom prst="rect">
          <a:avLst/>
        </a:prstGeom>
        <a:effectLst/>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5</xdr:col>
      <xdr:colOff>66675</xdr:colOff>
      <xdr:row>11</xdr:row>
      <xdr:rowOff>95251</xdr:rowOff>
    </xdr:from>
    <xdr:to>
      <xdr:col>6</xdr:col>
      <xdr:colOff>504825</xdr:colOff>
      <xdr:row>11</xdr:row>
      <xdr:rowOff>466725</xdr:rowOff>
    </xdr:to>
    <xdr:sp macro="[0]!PickUntaggedTextFile" textlink="">
      <xdr:nvSpPr>
        <xdr:cNvPr id="7" name="Rectangle 6">
          <a:extLst>
            <a:ext uri="{FF2B5EF4-FFF2-40B4-BE49-F238E27FC236}">
              <a16:creationId xmlns:a16="http://schemas.microsoft.com/office/drawing/2014/main" id="{00000000-0008-0000-0000-000007000000}"/>
            </a:ext>
          </a:extLst>
        </xdr:cNvPr>
        <xdr:cNvSpPr/>
      </xdr:nvSpPr>
      <xdr:spPr>
        <a:xfrm>
          <a:off x="5400675" y="1781176"/>
          <a:ext cx="1000125" cy="3714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Pick Text File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305922</xdr:colOff>
      <xdr:row>8</xdr:row>
      <xdr:rowOff>117103</xdr:rowOff>
    </xdr:from>
    <xdr:to>
      <xdr:col>6</xdr:col>
      <xdr:colOff>1311762</xdr:colOff>
      <xdr:row>8</xdr:row>
      <xdr:rowOff>391423</xdr:rowOff>
    </xdr:to>
    <xdr:sp macro="[0]!home" textlink="">
      <xdr:nvSpPr>
        <xdr:cNvPr id="2" name="Rectangle 1">
          <a:extLst>
            <a:ext uri="{FF2B5EF4-FFF2-40B4-BE49-F238E27FC236}">
              <a16:creationId xmlns:a16="http://schemas.microsoft.com/office/drawing/2014/main" id="{00000000-0008-0000-0200-000002000000}"/>
            </a:ext>
          </a:extLst>
        </xdr:cNvPr>
        <xdr:cNvSpPr/>
      </xdr:nvSpPr>
      <xdr:spPr>
        <a:xfrm>
          <a:off x="420222" y="764803"/>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Home</a:t>
          </a:r>
        </a:p>
      </xdr:txBody>
    </xdr:sp>
    <xdr:clientData/>
  </xdr:twoCellAnchor>
  <xdr:twoCellAnchor>
    <xdr:from>
      <xdr:col>6</xdr:col>
      <xdr:colOff>1500480</xdr:colOff>
      <xdr:row>8</xdr:row>
      <xdr:rowOff>117103</xdr:rowOff>
    </xdr:from>
    <xdr:to>
      <xdr:col>6</xdr:col>
      <xdr:colOff>2506320</xdr:colOff>
      <xdr:row>8</xdr:row>
      <xdr:rowOff>391423</xdr:rowOff>
    </xdr:to>
    <xdr:sp macro="[0]!'ValidateStatementOfNetPosition 1'" textlink="">
      <xdr:nvSpPr>
        <xdr:cNvPr id="3" name="Rectangle 2">
          <a:extLst>
            <a:ext uri="{FF2B5EF4-FFF2-40B4-BE49-F238E27FC236}">
              <a16:creationId xmlns:a16="http://schemas.microsoft.com/office/drawing/2014/main" id="{00000000-0008-0000-0200-000003000000}"/>
            </a:ext>
          </a:extLst>
        </xdr:cNvPr>
        <xdr:cNvSpPr/>
      </xdr:nvSpPr>
      <xdr:spPr>
        <a:xfrm>
          <a:off x="1614780" y="764803"/>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336874</xdr:colOff>
      <xdr:row>8</xdr:row>
      <xdr:rowOff>109960</xdr:rowOff>
    </xdr:from>
    <xdr:to>
      <xdr:col>6</xdr:col>
      <xdr:colOff>1342714</xdr:colOff>
      <xdr:row>8</xdr:row>
      <xdr:rowOff>384280</xdr:rowOff>
    </xdr:to>
    <xdr:sp macro="[0]!home" textlink="">
      <xdr:nvSpPr>
        <xdr:cNvPr id="2" name="Rectangle 1">
          <a:extLst>
            <a:ext uri="{FF2B5EF4-FFF2-40B4-BE49-F238E27FC236}">
              <a16:creationId xmlns:a16="http://schemas.microsoft.com/office/drawing/2014/main" id="{00000000-0008-0000-0300-000002000000}"/>
            </a:ext>
          </a:extLst>
        </xdr:cNvPr>
        <xdr:cNvSpPr/>
      </xdr:nvSpPr>
      <xdr:spPr>
        <a:xfrm>
          <a:off x="586905" y="109960"/>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Home</a:t>
          </a:r>
        </a:p>
      </xdr:txBody>
    </xdr:sp>
    <xdr:clientData/>
  </xdr:twoCellAnchor>
  <xdr:twoCellAnchor>
    <xdr:from>
      <xdr:col>6</xdr:col>
      <xdr:colOff>1531432</xdr:colOff>
      <xdr:row>8</xdr:row>
      <xdr:rowOff>109960</xdr:rowOff>
    </xdr:from>
    <xdr:to>
      <xdr:col>6</xdr:col>
      <xdr:colOff>2537272</xdr:colOff>
      <xdr:row>8</xdr:row>
      <xdr:rowOff>384280</xdr:rowOff>
    </xdr:to>
    <xdr:sp macro="[0]!'ValidateStatementOfActivities 1'" textlink="">
      <xdr:nvSpPr>
        <xdr:cNvPr id="3" name="Rectangle 2">
          <a:extLst>
            <a:ext uri="{FF2B5EF4-FFF2-40B4-BE49-F238E27FC236}">
              <a16:creationId xmlns:a16="http://schemas.microsoft.com/office/drawing/2014/main" id="{00000000-0008-0000-0300-000003000000}"/>
            </a:ext>
          </a:extLst>
        </xdr:cNvPr>
        <xdr:cNvSpPr/>
      </xdr:nvSpPr>
      <xdr:spPr>
        <a:xfrm>
          <a:off x="1781463" y="109960"/>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4" name="Rectangle 3">
          <a:extLst>
            <a:ext uri="{FF2B5EF4-FFF2-40B4-BE49-F238E27FC236}">
              <a16:creationId xmlns:a16="http://schemas.microsoft.com/office/drawing/2014/main" id="{00000000-0008-0000-0400-000004000000}"/>
            </a:ext>
          </a:extLst>
        </xdr:cNvPr>
        <xdr:cNvSpPr/>
      </xdr:nvSpPr>
      <xdr:spPr>
        <a:xfrm>
          <a:off x="628650" y="1666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5" name="Rectangle 4">
          <a:extLst>
            <a:ext uri="{FF2B5EF4-FFF2-40B4-BE49-F238E27FC236}">
              <a16:creationId xmlns:a16="http://schemas.microsoft.com/office/drawing/2014/main" id="{00000000-0008-0000-0400-000005000000}"/>
            </a:ext>
          </a:extLst>
        </xdr:cNvPr>
        <xdr:cNvSpPr/>
      </xdr:nvSpPr>
      <xdr:spPr>
        <a:xfrm>
          <a:off x="1823208" y="1666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4" name="Rectangle 3">
          <a:extLst>
            <a:ext uri="{FF2B5EF4-FFF2-40B4-BE49-F238E27FC236}">
              <a16:creationId xmlns:a16="http://schemas.microsoft.com/office/drawing/2014/main" id="{00000000-0008-0000-0500-000004000000}"/>
            </a:ext>
          </a:extLst>
        </xdr:cNvPr>
        <xdr:cNvSpPr/>
      </xdr:nvSpPr>
      <xdr:spPr>
        <a:xfrm>
          <a:off x="619125" y="1657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134471</xdr:rowOff>
    </xdr:from>
    <xdr:to>
      <xdr:col>6</xdr:col>
      <xdr:colOff>2667000</xdr:colOff>
      <xdr:row>8</xdr:row>
      <xdr:rowOff>379879</xdr:rowOff>
    </xdr:to>
    <xdr:sp macro="[0]!'ValidateGovFundStOfRevExpBal 1'" textlink="">
      <xdr:nvSpPr>
        <xdr:cNvPr id="5" name="Rectangle 4">
          <a:extLst>
            <a:ext uri="{FF2B5EF4-FFF2-40B4-BE49-F238E27FC236}">
              <a16:creationId xmlns:a16="http://schemas.microsoft.com/office/drawing/2014/main" id="{00000000-0008-0000-0500-000005000000}"/>
            </a:ext>
          </a:extLst>
        </xdr:cNvPr>
        <xdr:cNvSpPr/>
      </xdr:nvSpPr>
      <xdr:spPr>
        <a:xfrm>
          <a:off x="1707227" y="134471"/>
          <a:ext cx="1139067" cy="24540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295275</xdr:colOff>
      <xdr:row>8</xdr:row>
      <xdr:rowOff>85725</xdr:rowOff>
    </xdr:from>
    <xdr:to>
      <xdr:col>4</xdr:col>
      <xdr:colOff>1393452</xdr:colOff>
      <xdr:row>8</xdr:row>
      <xdr:rowOff>336738</xdr:rowOff>
    </xdr:to>
    <xdr:sp macro="[0]!home" textlink="">
      <xdr:nvSpPr>
        <xdr:cNvPr id="2" name="Rectangle 1">
          <a:extLst>
            <a:ext uri="{FF2B5EF4-FFF2-40B4-BE49-F238E27FC236}">
              <a16:creationId xmlns:a16="http://schemas.microsoft.com/office/drawing/2014/main" id="{00000000-0008-0000-0600-000002000000}"/>
            </a:ext>
          </a:extLst>
        </xdr:cNvPr>
        <xdr:cNvSpPr/>
      </xdr:nvSpPr>
      <xdr:spPr>
        <a:xfrm>
          <a:off x="476250" y="7524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1489833</xdr:colOff>
      <xdr:row>8</xdr:row>
      <xdr:rowOff>85725</xdr:rowOff>
    </xdr:from>
    <xdr:to>
      <xdr:col>4</xdr:col>
      <xdr:colOff>2585208</xdr:colOff>
      <xdr:row>8</xdr:row>
      <xdr:rowOff>332254</xdr:rowOff>
    </xdr:to>
    <xdr:sp macro="[0]!'ValidateBudgetAndActualGeneral 1'" textlink="">
      <xdr:nvSpPr>
        <xdr:cNvPr id="3" name="Rectangle 2">
          <a:extLst>
            <a:ext uri="{FF2B5EF4-FFF2-40B4-BE49-F238E27FC236}">
              <a16:creationId xmlns:a16="http://schemas.microsoft.com/office/drawing/2014/main" id="{00000000-0008-0000-0600-000003000000}"/>
            </a:ext>
          </a:extLst>
        </xdr:cNvPr>
        <xdr:cNvSpPr/>
      </xdr:nvSpPr>
      <xdr:spPr>
        <a:xfrm>
          <a:off x="1670808" y="752475"/>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276225</xdr:colOff>
      <xdr:row>4</xdr:row>
      <xdr:rowOff>104775</xdr:rowOff>
    </xdr:from>
    <xdr:to>
      <xdr:col>4</xdr:col>
      <xdr:colOff>1374402</xdr:colOff>
      <xdr:row>4</xdr:row>
      <xdr:rowOff>355788</xdr:rowOff>
    </xdr:to>
    <xdr:sp macro="[0]!home" textlink="">
      <xdr:nvSpPr>
        <xdr:cNvPr id="2" name="Rectangle 1">
          <a:extLst>
            <a:ext uri="{FF2B5EF4-FFF2-40B4-BE49-F238E27FC236}">
              <a16:creationId xmlns:a16="http://schemas.microsoft.com/office/drawing/2014/main" id="{00000000-0008-0000-0700-000002000000}"/>
            </a:ext>
          </a:extLst>
        </xdr:cNvPr>
        <xdr:cNvSpPr/>
      </xdr:nvSpPr>
      <xdr:spPr>
        <a:xfrm>
          <a:off x="457200" y="514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1470783</xdr:colOff>
      <xdr:row>4</xdr:row>
      <xdr:rowOff>104775</xdr:rowOff>
    </xdr:from>
    <xdr:to>
      <xdr:col>4</xdr:col>
      <xdr:colOff>2566158</xdr:colOff>
      <xdr:row>4</xdr:row>
      <xdr:rowOff>351304</xdr:rowOff>
    </xdr:to>
    <xdr:sp macro="[0]!'ValidateBandACommunityRedevelopment 1'" textlink="">
      <xdr:nvSpPr>
        <xdr:cNvPr id="3" name="Rectangle 2">
          <a:extLst>
            <a:ext uri="{FF2B5EF4-FFF2-40B4-BE49-F238E27FC236}">
              <a16:creationId xmlns:a16="http://schemas.microsoft.com/office/drawing/2014/main" id="{00000000-0008-0000-0700-000003000000}"/>
            </a:ext>
          </a:extLst>
        </xdr:cNvPr>
        <xdr:cNvSpPr/>
      </xdr:nvSpPr>
      <xdr:spPr>
        <a:xfrm>
          <a:off x="1651758" y="514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295275</xdr:colOff>
      <xdr:row>8</xdr:row>
      <xdr:rowOff>104775</xdr:rowOff>
    </xdr:from>
    <xdr:to>
      <xdr:col>5</xdr:col>
      <xdr:colOff>1393452</xdr:colOff>
      <xdr:row>8</xdr:row>
      <xdr:rowOff>355788</xdr:rowOff>
    </xdr:to>
    <xdr:sp macro="[0]!home" textlink="">
      <xdr:nvSpPr>
        <xdr:cNvPr id="2" name="Rectangle 1">
          <a:extLst>
            <a:ext uri="{FF2B5EF4-FFF2-40B4-BE49-F238E27FC236}">
              <a16:creationId xmlns:a16="http://schemas.microsoft.com/office/drawing/2014/main" id="{00000000-0008-0000-0800-000002000000}"/>
            </a:ext>
          </a:extLst>
        </xdr:cNvPr>
        <xdr:cNvSpPr/>
      </xdr:nvSpPr>
      <xdr:spPr>
        <a:xfrm>
          <a:off x="476250" y="5715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1489833</xdr:colOff>
      <xdr:row>8</xdr:row>
      <xdr:rowOff>104775</xdr:rowOff>
    </xdr:from>
    <xdr:to>
      <xdr:col>5</xdr:col>
      <xdr:colOff>2585208</xdr:colOff>
      <xdr:row>8</xdr:row>
      <xdr:rowOff>351304</xdr:rowOff>
    </xdr:to>
    <xdr:sp macro="[0]!'ValidateBandADowntownRedevelopment 1'" textlink="">
      <xdr:nvSpPr>
        <xdr:cNvPr id="3" name="Rectangle 2">
          <a:extLst>
            <a:ext uri="{FF2B5EF4-FFF2-40B4-BE49-F238E27FC236}">
              <a16:creationId xmlns:a16="http://schemas.microsoft.com/office/drawing/2014/main" id="{00000000-0008-0000-0800-000003000000}"/>
            </a:ext>
          </a:extLst>
        </xdr:cNvPr>
        <xdr:cNvSpPr/>
      </xdr:nvSpPr>
      <xdr:spPr>
        <a:xfrm>
          <a:off x="1670808" y="5715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304800</xdr:colOff>
      <xdr:row>8</xdr:row>
      <xdr:rowOff>95250</xdr:rowOff>
    </xdr:from>
    <xdr:to>
      <xdr:col>4</xdr:col>
      <xdr:colOff>1402977</xdr:colOff>
      <xdr:row>8</xdr:row>
      <xdr:rowOff>346263</xdr:rowOff>
    </xdr:to>
    <xdr:sp macro="[0]!home" textlink="">
      <xdr:nvSpPr>
        <xdr:cNvPr id="2" name="Rectangle 1">
          <a:extLst>
            <a:ext uri="{FF2B5EF4-FFF2-40B4-BE49-F238E27FC236}">
              <a16:creationId xmlns:a16="http://schemas.microsoft.com/office/drawing/2014/main" id="{00000000-0008-0000-0900-000002000000}"/>
            </a:ext>
          </a:extLst>
        </xdr:cNvPr>
        <xdr:cNvSpPr/>
      </xdr:nvSpPr>
      <xdr:spPr>
        <a:xfrm>
          <a:off x="485775" y="7620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1499358</xdr:colOff>
      <xdr:row>8</xdr:row>
      <xdr:rowOff>95250</xdr:rowOff>
    </xdr:from>
    <xdr:to>
      <xdr:col>4</xdr:col>
      <xdr:colOff>2594733</xdr:colOff>
      <xdr:row>8</xdr:row>
      <xdr:rowOff>341779</xdr:rowOff>
    </xdr:to>
    <xdr:sp macro="[0]!'ValidateBudgetandActualGrants 1'" textlink="">
      <xdr:nvSpPr>
        <xdr:cNvPr id="3" name="Rectangle 2">
          <a:extLst>
            <a:ext uri="{FF2B5EF4-FFF2-40B4-BE49-F238E27FC236}">
              <a16:creationId xmlns:a16="http://schemas.microsoft.com/office/drawing/2014/main" id="{00000000-0008-0000-0900-000003000000}"/>
            </a:ext>
          </a:extLst>
        </xdr:cNvPr>
        <xdr:cNvSpPr/>
      </xdr:nvSpPr>
      <xdr:spPr>
        <a:xfrm>
          <a:off x="1680333" y="7620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285750</xdr:colOff>
      <xdr:row>8</xdr:row>
      <xdr:rowOff>114300</xdr:rowOff>
    </xdr:from>
    <xdr:to>
      <xdr:col>6</xdr:col>
      <xdr:colOff>1383927</xdr:colOff>
      <xdr:row>8</xdr:row>
      <xdr:rowOff>365313</xdr:rowOff>
    </xdr:to>
    <xdr:sp macro="[0]!home" textlink="">
      <xdr:nvSpPr>
        <xdr:cNvPr id="4" name="Rectangle 3">
          <a:extLst>
            <a:ext uri="{FF2B5EF4-FFF2-40B4-BE49-F238E27FC236}">
              <a16:creationId xmlns:a16="http://schemas.microsoft.com/office/drawing/2014/main" id="{00000000-0008-0000-0A00-000004000000}"/>
            </a:ext>
          </a:extLst>
        </xdr:cNvPr>
        <xdr:cNvSpPr/>
      </xdr:nvSpPr>
      <xdr:spPr>
        <a:xfrm>
          <a:off x="466725" y="3048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1480308</xdr:colOff>
      <xdr:row>8</xdr:row>
      <xdr:rowOff>114300</xdr:rowOff>
    </xdr:from>
    <xdr:to>
      <xdr:col>6</xdr:col>
      <xdr:colOff>2575683</xdr:colOff>
      <xdr:row>8</xdr:row>
      <xdr:rowOff>360829</xdr:rowOff>
    </xdr:to>
    <xdr:sp macro="[0]!'ValidatePropFundStmtofNetPosition 1'" textlink="">
      <xdr:nvSpPr>
        <xdr:cNvPr id="5" name="Rectangle 4">
          <a:extLst>
            <a:ext uri="{FF2B5EF4-FFF2-40B4-BE49-F238E27FC236}">
              <a16:creationId xmlns:a16="http://schemas.microsoft.com/office/drawing/2014/main" id="{00000000-0008-0000-0A00-000005000000}"/>
            </a:ext>
          </a:extLst>
        </xdr:cNvPr>
        <xdr:cNvSpPr/>
      </xdr:nvSpPr>
      <xdr:spPr>
        <a:xfrm>
          <a:off x="1661283" y="3048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266700</xdr:colOff>
      <xdr:row>8</xdr:row>
      <xdr:rowOff>114300</xdr:rowOff>
    </xdr:from>
    <xdr:to>
      <xdr:col>6</xdr:col>
      <xdr:colOff>1364877</xdr:colOff>
      <xdr:row>8</xdr:row>
      <xdr:rowOff>365313</xdr:rowOff>
    </xdr:to>
    <xdr:sp macro="[0]!home" textlink="">
      <xdr:nvSpPr>
        <xdr:cNvPr id="6" name="Rectangle 5">
          <a:extLst>
            <a:ext uri="{FF2B5EF4-FFF2-40B4-BE49-F238E27FC236}">
              <a16:creationId xmlns:a16="http://schemas.microsoft.com/office/drawing/2014/main" id="{00000000-0008-0000-0B00-000006000000}"/>
            </a:ext>
          </a:extLst>
        </xdr:cNvPr>
        <xdr:cNvSpPr/>
      </xdr:nvSpPr>
      <xdr:spPr>
        <a:xfrm>
          <a:off x="447675" y="3048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1461258</xdr:colOff>
      <xdr:row>8</xdr:row>
      <xdr:rowOff>114300</xdr:rowOff>
    </xdr:from>
    <xdr:to>
      <xdr:col>6</xdr:col>
      <xdr:colOff>2556633</xdr:colOff>
      <xdr:row>8</xdr:row>
      <xdr:rowOff>360829</xdr:rowOff>
    </xdr:to>
    <xdr:sp macro="[0]!'ValidatePropFundStmtRevExpandBal 1'" textlink="">
      <xdr:nvSpPr>
        <xdr:cNvPr id="7" name="Rectangle 6">
          <a:extLst>
            <a:ext uri="{FF2B5EF4-FFF2-40B4-BE49-F238E27FC236}">
              <a16:creationId xmlns:a16="http://schemas.microsoft.com/office/drawing/2014/main" id="{00000000-0008-0000-0B00-000007000000}"/>
            </a:ext>
          </a:extLst>
        </xdr:cNvPr>
        <xdr:cNvSpPr/>
      </xdr:nvSpPr>
      <xdr:spPr>
        <a:xfrm>
          <a:off x="1642233" y="3048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335615</xdr:colOff>
      <xdr:row>8</xdr:row>
      <xdr:rowOff>122144</xdr:rowOff>
    </xdr:from>
    <xdr:to>
      <xdr:col>6</xdr:col>
      <xdr:colOff>1433792</xdr:colOff>
      <xdr:row>8</xdr:row>
      <xdr:rowOff>373157</xdr:rowOff>
    </xdr:to>
    <xdr:sp macro="[0]!home" textlink="">
      <xdr:nvSpPr>
        <xdr:cNvPr id="6" name="Rectangle 5">
          <a:extLst>
            <a:ext uri="{FF2B5EF4-FFF2-40B4-BE49-F238E27FC236}">
              <a16:creationId xmlns:a16="http://schemas.microsoft.com/office/drawing/2014/main" id="{00000000-0008-0000-0C00-000006000000}"/>
            </a:ext>
          </a:extLst>
        </xdr:cNvPr>
        <xdr:cNvSpPr/>
      </xdr:nvSpPr>
      <xdr:spPr>
        <a:xfrm>
          <a:off x="514909" y="312644"/>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1530173</xdr:colOff>
      <xdr:row>8</xdr:row>
      <xdr:rowOff>122144</xdr:rowOff>
    </xdr:from>
    <xdr:to>
      <xdr:col>6</xdr:col>
      <xdr:colOff>2625548</xdr:colOff>
      <xdr:row>8</xdr:row>
      <xdr:rowOff>368673</xdr:rowOff>
    </xdr:to>
    <xdr:sp macro="[0]!'ValidateStmtofCashFlowPropFunds 1'" textlink="">
      <xdr:nvSpPr>
        <xdr:cNvPr id="7" name="Rectangle 6">
          <a:extLst>
            <a:ext uri="{FF2B5EF4-FFF2-40B4-BE49-F238E27FC236}">
              <a16:creationId xmlns:a16="http://schemas.microsoft.com/office/drawing/2014/main" id="{00000000-0008-0000-0C00-000007000000}"/>
            </a:ext>
          </a:extLst>
        </xdr:cNvPr>
        <xdr:cNvSpPr/>
      </xdr:nvSpPr>
      <xdr:spPr>
        <a:xfrm>
          <a:off x="1709467" y="312644"/>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123825</xdr:colOff>
      <xdr:row>9</xdr:row>
      <xdr:rowOff>66675</xdr:rowOff>
    </xdr:from>
    <xdr:to>
      <xdr:col>6</xdr:col>
      <xdr:colOff>1809750</xdr:colOff>
      <xdr:row>9</xdr:row>
      <xdr:rowOff>390525</xdr:rowOff>
    </xdr:to>
    <xdr:sp macro="[0]!AddRetiredEmployee" textlink="">
      <xdr:nvSpPr>
        <xdr:cNvPr id="2" name="Rounded Rectangle 1">
          <a:extLst>
            <a:ext uri="{FF2B5EF4-FFF2-40B4-BE49-F238E27FC236}">
              <a16:creationId xmlns:a16="http://schemas.microsoft.com/office/drawing/2014/main" id="{00000000-0008-0000-0D00-000002000000}"/>
            </a:ext>
          </a:extLst>
        </xdr:cNvPr>
        <xdr:cNvSpPr/>
      </xdr:nvSpPr>
      <xdr:spPr>
        <a:xfrm>
          <a:off x="5057775" y="2286000"/>
          <a:ext cx="1685925"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a:extLst>
            <a:ext uri="{FF2B5EF4-FFF2-40B4-BE49-F238E27FC236}">
              <a16:creationId xmlns:a16="http://schemas.microsoft.com/office/drawing/2014/main" id="{00000000-0008-0000-0D00-000003000000}"/>
            </a:ext>
          </a:extLst>
        </xdr:cNvPr>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FootNote 1'" textlink="">
      <xdr:nvSpPr>
        <xdr:cNvPr id="4" name="Rectangle 3">
          <a:extLst>
            <a:ext uri="{FF2B5EF4-FFF2-40B4-BE49-F238E27FC236}">
              <a16:creationId xmlns:a16="http://schemas.microsoft.com/office/drawing/2014/main" id="{00000000-0008-0000-0D00-000004000000}"/>
            </a:ext>
          </a:extLst>
        </xdr:cNvPr>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15</xdr:col>
      <xdr:colOff>866775</xdr:colOff>
      <xdr:row>4</xdr:row>
      <xdr:rowOff>85725</xdr:rowOff>
    </xdr:from>
    <xdr:to>
      <xdr:col>15</xdr:col>
      <xdr:colOff>1943100</xdr:colOff>
      <xdr:row>4</xdr:row>
      <xdr:rowOff>381000</xdr:rowOff>
    </xdr:to>
    <xdr:sp macro="[0]!PickFootnotesDocFile" textlink="">
      <xdr:nvSpPr>
        <xdr:cNvPr id="5" name="Rectangle 4">
          <a:extLst>
            <a:ext uri="{FF2B5EF4-FFF2-40B4-BE49-F238E27FC236}">
              <a16:creationId xmlns:a16="http://schemas.microsoft.com/office/drawing/2014/main" id="{00000000-0008-0000-0D00-000005000000}"/>
            </a:ext>
          </a:extLst>
        </xdr:cNvPr>
        <xdr:cNvSpPr/>
      </xdr:nvSpPr>
      <xdr:spPr>
        <a:xfrm>
          <a:off x="3895725" y="876300"/>
          <a:ext cx="1076325" cy="295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Pick Word File</a:t>
          </a:r>
        </a:p>
      </xdr:txBody>
    </xdr:sp>
    <xdr:clientData/>
  </xdr:twoCellAnchor>
  <xdr:twoCellAnchor>
    <xdr:from>
      <xdr:col>15</xdr:col>
      <xdr:colOff>666749</xdr:colOff>
      <xdr:row>9</xdr:row>
      <xdr:rowOff>455082</xdr:rowOff>
    </xdr:from>
    <xdr:to>
      <xdr:col>15</xdr:col>
      <xdr:colOff>2201334</xdr:colOff>
      <xdr:row>10</xdr:row>
      <xdr:rowOff>402166</xdr:rowOff>
    </xdr:to>
    <xdr:sp macro="[0]!GenerateTestDocument" textlink="">
      <xdr:nvSpPr>
        <xdr:cNvPr id="11" name="Rectangle 10">
          <a:extLst>
            <a:ext uri="{FF2B5EF4-FFF2-40B4-BE49-F238E27FC236}">
              <a16:creationId xmlns:a16="http://schemas.microsoft.com/office/drawing/2014/main" id="{00000000-0008-0000-0D00-00000B000000}"/>
            </a:ext>
          </a:extLst>
        </xdr:cNvPr>
        <xdr:cNvSpPr/>
      </xdr:nvSpPr>
      <xdr:spPr>
        <a:xfrm>
          <a:off x="1555749" y="2984499"/>
          <a:ext cx="1534585" cy="4233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Generate </a:t>
          </a:r>
          <a:r>
            <a:rPr lang="en-US" sz="1100" baseline="0"/>
            <a:t> Test Document</a:t>
          </a:r>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a:extLst>
            <a:ext uri="{FF2B5EF4-FFF2-40B4-BE49-F238E27FC236}">
              <a16:creationId xmlns:a16="http://schemas.microsoft.com/office/drawing/2014/main" id="{00000000-0008-0000-0F00-000002000000}"/>
            </a:ext>
          </a:extLst>
        </xdr:cNvPr>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a:extLst>
            <a:ext uri="{FF2B5EF4-FFF2-40B4-BE49-F238E27FC236}">
              <a16:creationId xmlns:a16="http://schemas.microsoft.com/office/drawing/2014/main" id="{00000000-0008-0000-0F00-000003000000}"/>
            </a:ext>
          </a:extLst>
        </xdr:cNvPr>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5</xdr:col>
      <xdr:colOff>66675</xdr:colOff>
      <xdr:row>4</xdr:row>
      <xdr:rowOff>57150</xdr:rowOff>
    </xdr:from>
    <xdr:to>
      <xdr:col>5</xdr:col>
      <xdr:colOff>2447925</xdr:colOff>
      <xdr:row>4</xdr:row>
      <xdr:rowOff>361950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3019425" y="438150"/>
          <a:ext cx="2381250" cy="30480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Notes</a:t>
          </a:r>
        </a:p>
      </xdr:txBody>
    </xdr:sp>
    <xdr:clientData/>
  </xdr:twoCellAnchor>
  <xdr:twoCellAnchor>
    <xdr:from>
      <xdr:col>9</xdr:col>
      <xdr:colOff>828675</xdr:colOff>
      <xdr:row>5</xdr:row>
      <xdr:rowOff>180975</xdr:rowOff>
    </xdr:from>
    <xdr:to>
      <xdr:col>9</xdr:col>
      <xdr:colOff>2019300</xdr:colOff>
      <xdr:row>6</xdr:row>
      <xdr:rowOff>257175</xdr:rowOff>
    </xdr:to>
    <xdr:sp macro="[0]!PickInputFile" textlink="">
      <xdr:nvSpPr>
        <xdr:cNvPr id="5" name="Rectangle 4">
          <a:extLst>
            <a:ext uri="{FF2B5EF4-FFF2-40B4-BE49-F238E27FC236}">
              <a16:creationId xmlns:a16="http://schemas.microsoft.com/office/drawing/2014/main" id="{00000000-0008-0000-0F00-000005000000}"/>
            </a:ext>
          </a:extLst>
        </xdr:cNvPr>
        <xdr:cNvSpPr/>
      </xdr:nvSpPr>
      <xdr:spPr>
        <a:xfrm>
          <a:off x="8543925" y="800100"/>
          <a:ext cx="119062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Pick Word File</a:t>
          </a:r>
        </a:p>
      </xdr:txBody>
    </xdr:sp>
    <xdr:clientData/>
  </xdr:twoCellAnchor>
  <xdr:twoCellAnchor>
    <xdr:from>
      <xdr:col>11</xdr:col>
      <xdr:colOff>276225</xdr:colOff>
      <xdr:row>4</xdr:row>
      <xdr:rowOff>19050</xdr:rowOff>
    </xdr:from>
    <xdr:to>
      <xdr:col>13</xdr:col>
      <xdr:colOff>342900</xdr:colOff>
      <xdr:row>4</xdr:row>
      <xdr:rowOff>295275</xdr:rowOff>
    </xdr:to>
    <xdr:sp macro="" textlink="">
      <xdr:nvSpPr>
        <xdr:cNvPr id="6" name="Rectangle 5">
          <a:extLst>
            <a:ext uri="{FF2B5EF4-FFF2-40B4-BE49-F238E27FC236}">
              <a16:creationId xmlns:a16="http://schemas.microsoft.com/office/drawing/2014/main" id="{00000000-0008-0000-0F00-000006000000}"/>
            </a:ext>
          </a:extLst>
        </xdr:cNvPr>
        <xdr:cNvSpPr/>
      </xdr:nvSpPr>
      <xdr:spPr>
        <a:xfrm>
          <a:off x="11201400" y="209550"/>
          <a:ext cx="1285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Insert</a:t>
          </a:r>
          <a:r>
            <a:rPr lang="en-US" sz="1100" baseline="0"/>
            <a:t>  XML Tags</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238125</xdr:colOff>
      <xdr:row>7</xdr:row>
      <xdr:rowOff>114300</xdr:rowOff>
    </xdr:from>
    <xdr:to>
      <xdr:col>4</xdr:col>
      <xdr:colOff>1336302</xdr:colOff>
      <xdr:row>7</xdr:row>
      <xdr:rowOff>365313</xdr:rowOff>
    </xdr:to>
    <xdr:sp macro="[0]!home" textlink="">
      <xdr:nvSpPr>
        <xdr:cNvPr id="2" name="Rectangle 1">
          <a:extLst>
            <a:ext uri="{FF2B5EF4-FFF2-40B4-BE49-F238E27FC236}">
              <a16:creationId xmlns:a16="http://schemas.microsoft.com/office/drawing/2014/main" id="{00000000-0008-0000-1100-000002000000}"/>
            </a:ext>
          </a:extLst>
        </xdr:cNvPr>
        <xdr:cNvSpPr/>
      </xdr:nvSpPr>
      <xdr:spPr>
        <a:xfrm>
          <a:off x="4191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1432683</xdr:colOff>
      <xdr:row>7</xdr:row>
      <xdr:rowOff>114300</xdr:rowOff>
    </xdr:from>
    <xdr:to>
      <xdr:col>4</xdr:col>
      <xdr:colOff>2530860</xdr:colOff>
      <xdr:row>7</xdr:row>
      <xdr:rowOff>360829</xdr:rowOff>
    </xdr:to>
    <xdr:sp macro="[0]!'ValidateStmtofdtlofTaxAbatements 1'" textlink="">
      <xdr:nvSpPr>
        <xdr:cNvPr id="3" name="Rectangle 2">
          <a:extLst>
            <a:ext uri="{FF2B5EF4-FFF2-40B4-BE49-F238E27FC236}">
              <a16:creationId xmlns:a16="http://schemas.microsoft.com/office/drawing/2014/main" id="{00000000-0008-0000-1100-000003000000}"/>
            </a:ext>
          </a:extLst>
        </xdr:cNvPr>
        <xdr:cNvSpPr/>
      </xdr:nvSpPr>
      <xdr:spPr>
        <a:xfrm>
          <a:off x="16136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5</xdr:col>
      <xdr:colOff>219075</xdr:colOff>
      <xdr:row>11</xdr:row>
      <xdr:rowOff>66675</xdr:rowOff>
    </xdr:from>
    <xdr:to>
      <xdr:col>5</xdr:col>
      <xdr:colOff>1524000</xdr:colOff>
      <xdr:row>11</xdr:row>
      <xdr:rowOff>333375</xdr:rowOff>
    </xdr:to>
    <xdr:sp macro="[0]!opentextblock" textlink="">
      <xdr:nvSpPr>
        <xdr:cNvPr id="4" name="Rounded Rectangle 3">
          <a:extLst>
            <a:ext uri="{FF2B5EF4-FFF2-40B4-BE49-F238E27FC236}">
              <a16:creationId xmlns:a16="http://schemas.microsoft.com/office/drawing/2014/main" id="{00000000-0008-0000-1100-000004000000}"/>
            </a:ext>
          </a:extLst>
        </xdr:cNvPr>
        <xdr:cNvSpPr/>
      </xdr:nvSpPr>
      <xdr:spPr>
        <a:xfrm>
          <a:off x="3333750" y="1409700"/>
          <a:ext cx="1304925" cy="26670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Notes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257175</xdr:colOff>
      <xdr:row>5</xdr:row>
      <xdr:rowOff>104775</xdr:rowOff>
    </xdr:from>
    <xdr:to>
      <xdr:col>4</xdr:col>
      <xdr:colOff>1355352</xdr:colOff>
      <xdr:row>5</xdr:row>
      <xdr:rowOff>352425</xdr:rowOff>
    </xdr:to>
    <xdr:sp macro="[0]!home" textlink="">
      <xdr:nvSpPr>
        <xdr:cNvPr id="2" name="Rectangle 1">
          <a:extLst>
            <a:ext uri="{FF2B5EF4-FFF2-40B4-BE49-F238E27FC236}">
              <a16:creationId xmlns:a16="http://schemas.microsoft.com/office/drawing/2014/main" id="{00000000-0008-0000-1200-000002000000}"/>
            </a:ext>
          </a:extLst>
        </xdr:cNvPr>
        <xdr:cNvSpPr/>
      </xdr:nvSpPr>
      <xdr:spPr>
        <a:xfrm>
          <a:off x="438150" y="1057275"/>
          <a:ext cx="1098177"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1518409</xdr:colOff>
      <xdr:row>5</xdr:row>
      <xdr:rowOff>104776</xdr:rowOff>
    </xdr:from>
    <xdr:to>
      <xdr:col>5</xdr:col>
      <xdr:colOff>142876</xdr:colOff>
      <xdr:row>5</xdr:row>
      <xdr:rowOff>352426</xdr:rowOff>
    </xdr:to>
    <xdr:sp macro="[0]!'ValidateCombiningStatement 1'" textlink="">
      <xdr:nvSpPr>
        <xdr:cNvPr id="3" name="Rectangle 2">
          <a:extLst>
            <a:ext uri="{FF2B5EF4-FFF2-40B4-BE49-F238E27FC236}">
              <a16:creationId xmlns:a16="http://schemas.microsoft.com/office/drawing/2014/main" id="{00000000-0008-0000-1200-000003000000}"/>
            </a:ext>
          </a:extLst>
        </xdr:cNvPr>
        <xdr:cNvSpPr/>
      </xdr:nvSpPr>
      <xdr:spPr>
        <a:xfrm>
          <a:off x="1699384" y="104776"/>
          <a:ext cx="1110492"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209551</xdr:colOff>
      <xdr:row>7</xdr:row>
      <xdr:rowOff>123825</xdr:rowOff>
    </xdr:from>
    <xdr:to>
      <xdr:col>4</xdr:col>
      <xdr:colOff>1123951</xdr:colOff>
      <xdr:row>7</xdr:row>
      <xdr:rowOff>352425</xdr:rowOff>
    </xdr:to>
    <xdr:sp macro="[0]!home" textlink="">
      <xdr:nvSpPr>
        <xdr:cNvPr id="2" name="Rectangle 1">
          <a:extLst>
            <a:ext uri="{FF2B5EF4-FFF2-40B4-BE49-F238E27FC236}">
              <a16:creationId xmlns:a16="http://schemas.microsoft.com/office/drawing/2014/main" id="{00000000-0008-0000-1300-000002000000}"/>
            </a:ext>
          </a:extLst>
        </xdr:cNvPr>
        <xdr:cNvSpPr/>
      </xdr:nvSpPr>
      <xdr:spPr>
        <a:xfrm>
          <a:off x="390526" y="314325"/>
          <a:ext cx="914400" cy="22860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1251707</xdr:colOff>
      <xdr:row>7</xdr:row>
      <xdr:rowOff>104775</xdr:rowOff>
    </xdr:from>
    <xdr:to>
      <xdr:col>4</xdr:col>
      <xdr:colOff>2219324</xdr:colOff>
      <xdr:row>7</xdr:row>
      <xdr:rowOff>352425</xdr:rowOff>
    </xdr:to>
    <xdr:sp macro="[0]!'ValidatePensionTrust 1'" textlink="">
      <xdr:nvSpPr>
        <xdr:cNvPr id="3" name="Rectangle 2">
          <a:extLst>
            <a:ext uri="{FF2B5EF4-FFF2-40B4-BE49-F238E27FC236}">
              <a16:creationId xmlns:a16="http://schemas.microsoft.com/office/drawing/2014/main" id="{00000000-0008-0000-1300-000003000000}"/>
            </a:ext>
          </a:extLst>
        </xdr:cNvPr>
        <xdr:cNvSpPr/>
      </xdr:nvSpPr>
      <xdr:spPr>
        <a:xfrm>
          <a:off x="1432682" y="295275"/>
          <a:ext cx="967617"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190500</xdr:colOff>
      <xdr:row>7</xdr:row>
      <xdr:rowOff>104775</xdr:rowOff>
    </xdr:from>
    <xdr:to>
      <xdr:col>4</xdr:col>
      <xdr:colOff>1076325</xdr:colOff>
      <xdr:row>7</xdr:row>
      <xdr:rowOff>352424</xdr:rowOff>
    </xdr:to>
    <xdr:sp macro="[0]!home" textlink="">
      <xdr:nvSpPr>
        <xdr:cNvPr id="2" name="Rectangle 1">
          <a:extLst>
            <a:ext uri="{FF2B5EF4-FFF2-40B4-BE49-F238E27FC236}">
              <a16:creationId xmlns:a16="http://schemas.microsoft.com/office/drawing/2014/main" id="{00000000-0008-0000-1400-000002000000}"/>
            </a:ext>
          </a:extLst>
        </xdr:cNvPr>
        <xdr:cNvSpPr/>
      </xdr:nvSpPr>
      <xdr:spPr>
        <a:xfrm>
          <a:off x="371475" y="657225"/>
          <a:ext cx="885825" cy="24764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1270758</xdr:colOff>
      <xdr:row>7</xdr:row>
      <xdr:rowOff>104775</xdr:rowOff>
    </xdr:from>
    <xdr:to>
      <xdr:col>4</xdr:col>
      <xdr:colOff>2156583</xdr:colOff>
      <xdr:row>7</xdr:row>
      <xdr:rowOff>332254</xdr:rowOff>
    </xdr:to>
    <xdr:sp macro="[0]!'ValidateLONGTERMOBLIGATIONS 1'" textlink="">
      <xdr:nvSpPr>
        <xdr:cNvPr id="3" name="Rectangle 2">
          <a:extLst>
            <a:ext uri="{FF2B5EF4-FFF2-40B4-BE49-F238E27FC236}">
              <a16:creationId xmlns:a16="http://schemas.microsoft.com/office/drawing/2014/main" id="{00000000-0008-0000-1400-000003000000}"/>
            </a:ext>
          </a:extLst>
        </xdr:cNvPr>
        <xdr:cNvSpPr/>
      </xdr:nvSpPr>
      <xdr:spPr>
        <a:xfrm>
          <a:off x="1451733" y="657225"/>
          <a:ext cx="885825" cy="22747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2038350</xdr:colOff>
          <xdr:row>6</xdr:row>
          <xdr:rowOff>0</xdr:rowOff>
        </xdr:from>
        <xdr:to>
          <xdr:col>2</xdr:col>
          <xdr:colOff>3467100</xdr:colOff>
          <xdr:row>8</xdr:row>
          <xdr:rowOff>57150</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6</xdr:row>
          <xdr:rowOff>0</xdr:rowOff>
        </xdr:from>
        <xdr:to>
          <xdr:col>2</xdr:col>
          <xdr:colOff>1638300</xdr:colOff>
          <xdr:row>8</xdr:row>
          <xdr:rowOff>57150</xdr:rowOff>
        </xdr:to>
        <xdr:sp macro="" textlink="">
          <xdr:nvSpPr>
            <xdr:cNvPr id="27650" name="CommandButton2" hidden="1">
              <a:extLst>
                <a:ext uri="{63B3BB69-23CF-44E3-9099-C40C66FF867C}">
                  <a14:compatExt spid="_x0000_s27650"/>
                </a:ext>
                <a:ext uri="{FF2B5EF4-FFF2-40B4-BE49-F238E27FC236}">
                  <a16:creationId xmlns:a16="http://schemas.microsoft.com/office/drawing/2014/main" id="{00000000-0008-0000-14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3</xdr:col>
      <xdr:colOff>257175</xdr:colOff>
      <xdr:row>5</xdr:row>
      <xdr:rowOff>114300</xdr:rowOff>
    </xdr:from>
    <xdr:to>
      <xdr:col>3</xdr:col>
      <xdr:colOff>1123950</xdr:colOff>
      <xdr:row>5</xdr:row>
      <xdr:rowOff>355788</xdr:rowOff>
    </xdr:to>
    <xdr:sp macro="[0]!home" textlink="">
      <xdr:nvSpPr>
        <xdr:cNvPr id="2" name="Rectangle 1">
          <a:extLst>
            <a:ext uri="{FF2B5EF4-FFF2-40B4-BE49-F238E27FC236}">
              <a16:creationId xmlns:a16="http://schemas.microsoft.com/office/drawing/2014/main" id="{00000000-0008-0000-1600-000002000000}"/>
            </a:ext>
          </a:extLst>
        </xdr:cNvPr>
        <xdr:cNvSpPr/>
      </xdr:nvSpPr>
      <xdr:spPr>
        <a:xfrm>
          <a:off x="438150" y="114300"/>
          <a:ext cx="866775" cy="24148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1318383</xdr:colOff>
      <xdr:row>5</xdr:row>
      <xdr:rowOff>114300</xdr:rowOff>
    </xdr:from>
    <xdr:to>
      <xdr:col>3</xdr:col>
      <xdr:colOff>2228850</xdr:colOff>
      <xdr:row>5</xdr:row>
      <xdr:rowOff>351304</xdr:rowOff>
    </xdr:to>
    <xdr:sp macro="[0]!'ValidateRSIEmployeesRetirement 1'" textlink="">
      <xdr:nvSpPr>
        <xdr:cNvPr id="3" name="Rectangle 2">
          <a:extLst>
            <a:ext uri="{FF2B5EF4-FFF2-40B4-BE49-F238E27FC236}">
              <a16:creationId xmlns:a16="http://schemas.microsoft.com/office/drawing/2014/main" id="{00000000-0008-0000-1600-000003000000}"/>
            </a:ext>
          </a:extLst>
        </xdr:cNvPr>
        <xdr:cNvSpPr/>
      </xdr:nvSpPr>
      <xdr:spPr>
        <a:xfrm>
          <a:off x="1499358" y="114300"/>
          <a:ext cx="910467" cy="23700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266700</xdr:colOff>
      <xdr:row>5</xdr:row>
      <xdr:rowOff>95250</xdr:rowOff>
    </xdr:from>
    <xdr:to>
      <xdr:col>3</xdr:col>
      <xdr:colOff>1364877</xdr:colOff>
      <xdr:row>5</xdr:row>
      <xdr:rowOff>346263</xdr:rowOff>
    </xdr:to>
    <xdr:sp macro="[0]!home" textlink="">
      <xdr:nvSpPr>
        <xdr:cNvPr id="2" name="Rectangle 1">
          <a:extLst>
            <a:ext uri="{FF2B5EF4-FFF2-40B4-BE49-F238E27FC236}">
              <a16:creationId xmlns:a16="http://schemas.microsoft.com/office/drawing/2014/main" id="{00000000-0008-0000-1700-000002000000}"/>
            </a:ext>
          </a:extLst>
        </xdr:cNvPr>
        <xdr:cNvSpPr/>
      </xdr:nvSpPr>
      <xdr:spPr>
        <a:xfrm>
          <a:off x="447675" y="5524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1461258</xdr:colOff>
      <xdr:row>5</xdr:row>
      <xdr:rowOff>95250</xdr:rowOff>
    </xdr:from>
    <xdr:to>
      <xdr:col>3</xdr:col>
      <xdr:colOff>2556633</xdr:colOff>
      <xdr:row>5</xdr:row>
      <xdr:rowOff>341779</xdr:rowOff>
    </xdr:to>
    <xdr:sp macro="[0]!'ValidateRSIFirefightersRetirement 1'" textlink="">
      <xdr:nvSpPr>
        <xdr:cNvPr id="3" name="Rectangle 2">
          <a:extLst>
            <a:ext uri="{FF2B5EF4-FFF2-40B4-BE49-F238E27FC236}">
              <a16:creationId xmlns:a16="http://schemas.microsoft.com/office/drawing/2014/main" id="{00000000-0008-0000-1700-000003000000}"/>
            </a:ext>
          </a:extLst>
        </xdr:cNvPr>
        <xdr:cNvSpPr/>
      </xdr:nvSpPr>
      <xdr:spPr>
        <a:xfrm>
          <a:off x="1642233" y="952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238125</xdr:colOff>
      <xdr:row>5</xdr:row>
      <xdr:rowOff>123825</xdr:rowOff>
    </xdr:from>
    <xdr:to>
      <xdr:col>3</xdr:col>
      <xdr:colOff>1123950</xdr:colOff>
      <xdr:row>5</xdr:row>
      <xdr:rowOff>346263</xdr:rowOff>
    </xdr:to>
    <xdr:sp macro="[0]!home" textlink="">
      <xdr:nvSpPr>
        <xdr:cNvPr id="2" name="Rectangle 1">
          <a:extLst>
            <a:ext uri="{FF2B5EF4-FFF2-40B4-BE49-F238E27FC236}">
              <a16:creationId xmlns:a16="http://schemas.microsoft.com/office/drawing/2014/main" id="{00000000-0008-0000-1800-000002000000}"/>
            </a:ext>
          </a:extLst>
        </xdr:cNvPr>
        <xdr:cNvSpPr/>
      </xdr:nvSpPr>
      <xdr:spPr>
        <a:xfrm>
          <a:off x="419100" y="857250"/>
          <a:ext cx="885825" cy="22243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1346958</xdr:colOff>
      <xdr:row>5</xdr:row>
      <xdr:rowOff>123825</xdr:rowOff>
    </xdr:from>
    <xdr:to>
      <xdr:col>3</xdr:col>
      <xdr:colOff>2337558</xdr:colOff>
      <xdr:row>5</xdr:row>
      <xdr:rowOff>341779</xdr:rowOff>
    </xdr:to>
    <xdr:sp macro="[0]!'ValidateRSIPoliceOfficersRetirement 1'" textlink="">
      <xdr:nvSpPr>
        <xdr:cNvPr id="3" name="Rectangle 2">
          <a:extLst>
            <a:ext uri="{FF2B5EF4-FFF2-40B4-BE49-F238E27FC236}">
              <a16:creationId xmlns:a16="http://schemas.microsoft.com/office/drawing/2014/main" id="{00000000-0008-0000-1800-000003000000}"/>
            </a:ext>
          </a:extLst>
        </xdr:cNvPr>
        <xdr:cNvSpPr/>
      </xdr:nvSpPr>
      <xdr:spPr>
        <a:xfrm>
          <a:off x="1527933" y="857250"/>
          <a:ext cx="990600" cy="21795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314325</xdr:colOff>
      <xdr:row>6</xdr:row>
      <xdr:rowOff>95250</xdr:rowOff>
    </xdr:from>
    <xdr:to>
      <xdr:col>3</xdr:col>
      <xdr:colOff>1276350</xdr:colOff>
      <xdr:row>6</xdr:row>
      <xdr:rowOff>346263</xdr:rowOff>
    </xdr:to>
    <xdr:sp macro="[0]!home" textlink="">
      <xdr:nvSpPr>
        <xdr:cNvPr id="2" name="Rectangle 1">
          <a:extLst>
            <a:ext uri="{FF2B5EF4-FFF2-40B4-BE49-F238E27FC236}">
              <a16:creationId xmlns:a16="http://schemas.microsoft.com/office/drawing/2014/main" id="{00000000-0008-0000-1900-000002000000}"/>
            </a:ext>
          </a:extLst>
        </xdr:cNvPr>
        <xdr:cNvSpPr/>
      </xdr:nvSpPr>
      <xdr:spPr>
        <a:xfrm>
          <a:off x="495300" y="704850"/>
          <a:ext cx="96202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1508883</xdr:colOff>
      <xdr:row>6</xdr:row>
      <xdr:rowOff>95250</xdr:rowOff>
    </xdr:from>
    <xdr:to>
      <xdr:col>3</xdr:col>
      <xdr:colOff>2419350</xdr:colOff>
      <xdr:row>6</xdr:row>
      <xdr:rowOff>341779</xdr:rowOff>
    </xdr:to>
    <xdr:sp macro="[0]!'ValidateRSIPensionContributions 1'" textlink="">
      <xdr:nvSpPr>
        <xdr:cNvPr id="3" name="Rectangle 2">
          <a:extLst>
            <a:ext uri="{FF2B5EF4-FFF2-40B4-BE49-F238E27FC236}">
              <a16:creationId xmlns:a16="http://schemas.microsoft.com/office/drawing/2014/main" id="{00000000-0008-0000-1900-000003000000}"/>
            </a:ext>
          </a:extLst>
        </xdr:cNvPr>
        <xdr:cNvSpPr/>
      </xdr:nvSpPr>
      <xdr:spPr>
        <a:xfrm>
          <a:off x="1689858" y="704850"/>
          <a:ext cx="91046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257180</xdr:colOff>
      <xdr:row>8</xdr:row>
      <xdr:rowOff>95238</xdr:rowOff>
    </xdr:from>
    <xdr:to>
      <xdr:col>4</xdr:col>
      <xdr:colOff>1178724</xdr:colOff>
      <xdr:row>8</xdr:row>
      <xdr:rowOff>348632</xdr:rowOff>
    </xdr:to>
    <xdr:sp macro="[0]!home" textlink="">
      <xdr:nvSpPr>
        <xdr:cNvPr id="2" name="Rectangle 1">
          <a:extLst>
            <a:ext uri="{FF2B5EF4-FFF2-40B4-BE49-F238E27FC236}">
              <a16:creationId xmlns:a16="http://schemas.microsoft.com/office/drawing/2014/main" id="{00000000-0008-0000-1A00-000002000000}"/>
            </a:ext>
          </a:extLst>
        </xdr:cNvPr>
        <xdr:cNvSpPr/>
      </xdr:nvSpPr>
      <xdr:spPr>
        <a:xfrm>
          <a:off x="435774" y="738176"/>
          <a:ext cx="921544" cy="25339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1356489</xdr:colOff>
      <xdr:row>8</xdr:row>
      <xdr:rowOff>97618</xdr:rowOff>
    </xdr:from>
    <xdr:to>
      <xdr:col>4</xdr:col>
      <xdr:colOff>2270889</xdr:colOff>
      <xdr:row>8</xdr:row>
      <xdr:rowOff>344147</xdr:rowOff>
    </xdr:to>
    <xdr:sp macro="[0]!'ValidateNetPositionByComponent10Yr 1'" textlink="">
      <xdr:nvSpPr>
        <xdr:cNvPr id="3" name="Rectangle 2">
          <a:extLst>
            <a:ext uri="{FF2B5EF4-FFF2-40B4-BE49-F238E27FC236}">
              <a16:creationId xmlns:a16="http://schemas.microsoft.com/office/drawing/2014/main" id="{00000000-0008-0000-1A00-000003000000}"/>
            </a:ext>
          </a:extLst>
        </xdr:cNvPr>
        <xdr:cNvSpPr/>
      </xdr:nvSpPr>
      <xdr:spPr>
        <a:xfrm>
          <a:off x="1535083" y="740556"/>
          <a:ext cx="914400"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333375</xdr:colOff>
      <xdr:row>8</xdr:row>
      <xdr:rowOff>104775</xdr:rowOff>
    </xdr:from>
    <xdr:to>
      <xdr:col>4</xdr:col>
      <xdr:colOff>1219200</xdr:colOff>
      <xdr:row>8</xdr:row>
      <xdr:rowOff>336738</xdr:rowOff>
    </xdr:to>
    <xdr:sp macro="[0]!home" textlink="">
      <xdr:nvSpPr>
        <xdr:cNvPr id="2" name="Rectangle 1">
          <a:extLst>
            <a:ext uri="{FF2B5EF4-FFF2-40B4-BE49-F238E27FC236}">
              <a16:creationId xmlns:a16="http://schemas.microsoft.com/office/drawing/2014/main" id="{00000000-0008-0000-1B00-000002000000}"/>
            </a:ext>
          </a:extLst>
        </xdr:cNvPr>
        <xdr:cNvSpPr/>
      </xdr:nvSpPr>
      <xdr:spPr>
        <a:xfrm>
          <a:off x="514350" y="647700"/>
          <a:ext cx="885825" cy="23196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1404108</xdr:colOff>
      <xdr:row>8</xdr:row>
      <xdr:rowOff>104775</xdr:rowOff>
    </xdr:from>
    <xdr:to>
      <xdr:col>4</xdr:col>
      <xdr:colOff>2257425</xdr:colOff>
      <xdr:row>8</xdr:row>
      <xdr:rowOff>332254</xdr:rowOff>
    </xdr:to>
    <xdr:sp macro="[0]!'ValidateChangesinNetPosition10Yr 1'" textlink="">
      <xdr:nvSpPr>
        <xdr:cNvPr id="3" name="Rectangle 2">
          <a:extLst>
            <a:ext uri="{FF2B5EF4-FFF2-40B4-BE49-F238E27FC236}">
              <a16:creationId xmlns:a16="http://schemas.microsoft.com/office/drawing/2014/main" id="{00000000-0008-0000-1B00-000003000000}"/>
            </a:ext>
          </a:extLst>
        </xdr:cNvPr>
        <xdr:cNvSpPr/>
      </xdr:nvSpPr>
      <xdr:spPr>
        <a:xfrm>
          <a:off x="1585083" y="647700"/>
          <a:ext cx="853317" cy="22747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314325</xdr:colOff>
      <xdr:row>8</xdr:row>
      <xdr:rowOff>104775</xdr:rowOff>
    </xdr:from>
    <xdr:to>
      <xdr:col>4</xdr:col>
      <xdr:colOff>1181100</xdr:colOff>
      <xdr:row>8</xdr:row>
      <xdr:rowOff>355788</xdr:rowOff>
    </xdr:to>
    <xdr:sp macro="[0]!home" textlink="">
      <xdr:nvSpPr>
        <xdr:cNvPr id="2" name="Rectangle 1">
          <a:extLst>
            <a:ext uri="{FF2B5EF4-FFF2-40B4-BE49-F238E27FC236}">
              <a16:creationId xmlns:a16="http://schemas.microsoft.com/office/drawing/2014/main" id="{00000000-0008-0000-1C00-000002000000}"/>
            </a:ext>
          </a:extLst>
        </xdr:cNvPr>
        <xdr:cNvSpPr/>
      </xdr:nvSpPr>
      <xdr:spPr>
        <a:xfrm>
          <a:off x="495300" y="647700"/>
          <a:ext cx="86677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1385058</xdr:colOff>
      <xdr:row>8</xdr:row>
      <xdr:rowOff>104775</xdr:rowOff>
    </xdr:from>
    <xdr:to>
      <xdr:col>4</xdr:col>
      <xdr:colOff>2247900</xdr:colOff>
      <xdr:row>8</xdr:row>
      <xdr:rowOff>351304</xdr:rowOff>
    </xdr:to>
    <xdr:sp macro="[0]!'ValidateFundBalancesGovFunds10Yr 1'" textlink="">
      <xdr:nvSpPr>
        <xdr:cNvPr id="3" name="Rectangle 2">
          <a:extLst>
            <a:ext uri="{FF2B5EF4-FFF2-40B4-BE49-F238E27FC236}">
              <a16:creationId xmlns:a16="http://schemas.microsoft.com/office/drawing/2014/main" id="{00000000-0008-0000-1C00-000003000000}"/>
            </a:ext>
          </a:extLst>
        </xdr:cNvPr>
        <xdr:cNvSpPr/>
      </xdr:nvSpPr>
      <xdr:spPr>
        <a:xfrm>
          <a:off x="1566033" y="647700"/>
          <a:ext cx="862842"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409575</xdr:colOff>
      <xdr:row>8</xdr:row>
      <xdr:rowOff>76200</xdr:rowOff>
    </xdr:from>
    <xdr:to>
      <xdr:col>4</xdr:col>
      <xdr:colOff>1314450</xdr:colOff>
      <xdr:row>8</xdr:row>
      <xdr:rowOff>327213</xdr:rowOff>
    </xdr:to>
    <xdr:sp macro="[0]!home" textlink="">
      <xdr:nvSpPr>
        <xdr:cNvPr id="2" name="Rectangle 1">
          <a:extLst>
            <a:ext uri="{FF2B5EF4-FFF2-40B4-BE49-F238E27FC236}">
              <a16:creationId xmlns:a16="http://schemas.microsoft.com/office/drawing/2014/main" id="{00000000-0008-0000-1D00-000002000000}"/>
            </a:ext>
          </a:extLst>
        </xdr:cNvPr>
        <xdr:cNvSpPr/>
      </xdr:nvSpPr>
      <xdr:spPr>
        <a:xfrm>
          <a:off x="590550" y="495300"/>
          <a:ext cx="90487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1604133</xdr:colOff>
      <xdr:row>8</xdr:row>
      <xdr:rowOff>76200</xdr:rowOff>
    </xdr:from>
    <xdr:to>
      <xdr:col>4</xdr:col>
      <xdr:colOff>2514600</xdr:colOff>
      <xdr:row>8</xdr:row>
      <xdr:rowOff>322729</xdr:rowOff>
    </xdr:to>
    <xdr:sp macro="[0]!'ValidateChangesinFundBalances10Yr 1'" textlink="">
      <xdr:nvSpPr>
        <xdr:cNvPr id="3" name="Rectangle 2">
          <a:extLst>
            <a:ext uri="{FF2B5EF4-FFF2-40B4-BE49-F238E27FC236}">
              <a16:creationId xmlns:a16="http://schemas.microsoft.com/office/drawing/2014/main" id="{00000000-0008-0000-1D00-000003000000}"/>
            </a:ext>
          </a:extLst>
        </xdr:cNvPr>
        <xdr:cNvSpPr/>
      </xdr:nvSpPr>
      <xdr:spPr>
        <a:xfrm>
          <a:off x="1785108" y="495300"/>
          <a:ext cx="91046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295276</xdr:colOff>
      <xdr:row>8</xdr:row>
      <xdr:rowOff>104774</xdr:rowOff>
    </xdr:from>
    <xdr:to>
      <xdr:col>5</xdr:col>
      <xdr:colOff>619126</xdr:colOff>
      <xdr:row>8</xdr:row>
      <xdr:rowOff>361950</xdr:rowOff>
    </xdr:to>
    <xdr:sp macro="[0]!home" textlink="">
      <xdr:nvSpPr>
        <xdr:cNvPr id="4" name="Rectangle 3">
          <a:extLst>
            <a:ext uri="{FF2B5EF4-FFF2-40B4-BE49-F238E27FC236}">
              <a16:creationId xmlns:a16="http://schemas.microsoft.com/office/drawing/2014/main" id="{00000000-0008-0000-1E00-000004000000}"/>
            </a:ext>
          </a:extLst>
        </xdr:cNvPr>
        <xdr:cNvSpPr/>
      </xdr:nvSpPr>
      <xdr:spPr>
        <a:xfrm>
          <a:off x="476251" y="419099"/>
          <a:ext cx="933450" cy="25717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823083</xdr:colOff>
      <xdr:row>8</xdr:row>
      <xdr:rowOff>104775</xdr:rowOff>
    </xdr:from>
    <xdr:to>
      <xdr:col>6</xdr:col>
      <xdr:colOff>390525</xdr:colOff>
      <xdr:row>8</xdr:row>
      <xdr:rowOff>361951</xdr:rowOff>
    </xdr:to>
    <xdr:sp macro="" textlink="">
      <xdr:nvSpPr>
        <xdr:cNvPr id="5" name="Rectangle 4">
          <a:extLst>
            <a:ext uri="{FF2B5EF4-FFF2-40B4-BE49-F238E27FC236}">
              <a16:creationId xmlns:a16="http://schemas.microsoft.com/office/drawing/2014/main" id="{00000000-0008-0000-1E00-000005000000}"/>
            </a:ext>
          </a:extLst>
        </xdr:cNvPr>
        <xdr:cNvSpPr/>
      </xdr:nvSpPr>
      <xdr:spPr>
        <a:xfrm>
          <a:off x="1613658" y="419100"/>
          <a:ext cx="948567" cy="25717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4</xdr:col>
      <xdr:colOff>295274</xdr:colOff>
      <xdr:row>8</xdr:row>
      <xdr:rowOff>95250</xdr:rowOff>
    </xdr:from>
    <xdr:to>
      <xdr:col>4</xdr:col>
      <xdr:colOff>1133475</xdr:colOff>
      <xdr:row>8</xdr:row>
      <xdr:rowOff>361950</xdr:rowOff>
    </xdr:to>
    <xdr:sp macro="[0]!home" textlink="">
      <xdr:nvSpPr>
        <xdr:cNvPr id="4" name="Rectangle 3">
          <a:extLst>
            <a:ext uri="{FF2B5EF4-FFF2-40B4-BE49-F238E27FC236}">
              <a16:creationId xmlns:a16="http://schemas.microsoft.com/office/drawing/2014/main" id="{00000000-0008-0000-1F00-000004000000}"/>
            </a:ext>
          </a:extLst>
        </xdr:cNvPr>
        <xdr:cNvSpPr/>
      </xdr:nvSpPr>
      <xdr:spPr>
        <a:xfrm>
          <a:off x="476249" y="504825"/>
          <a:ext cx="838201" cy="26670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1318383</xdr:colOff>
      <xdr:row>8</xdr:row>
      <xdr:rowOff>85724</xdr:rowOff>
    </xdr:from>
    <xdr:to>
      <xdr:col>5</xdr:col>
      <xdr:colOff>762000</xdr:colOff>
      <xdr:row>8</xdr:row>
      <xdr:rowOff>361950</xdr:rowOff>
    </xdr:to>
    <xdr:sp macro="" textlink="">
      <xdr:nvSpPr>
        <xdr:cNvPr id="5" name="Rectangle 4">
          <a:extLst>
            <a:ext uri="{FF2B5EF4-FFF2-40B4-BE49-F238E27FC236}">
              <a16:creationId xmlns:a16="http://schemas.microsoft.com/office/drawing/2014/main" id="{00000000-0008-0000-1F00-000005000000}"/>
            </a:ext>
          </a:extLst>
        </xdr:cNvPr>
        <xdr:cNvSpPr/>
      </xdr:nvSpPr>
      <xdr:spPr>
        <a:xfrm>
          <a:off x="1499358" y="495299"/>
          <a:ext cx="843792" cy="27622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219075</xdr:colOff>
      <xdr:row>8</xdr:row>
      <xdr:rowOff>95249</xdr:rowOff>
    </xdr:from>
    <xdr:to>
      <xdr:col>4</xdr:col>
      <xdr:colOff>1076325</xdr:colOff>
      <xdr:row>8</xdr:row>
      <xdr:rowOff>342900</xdr:rowOff>
    </xdr:to>
    <xdr:sp macro="[0]!home" textlink="">
      <xdr:nvSpPr>
        <xdr:cNvPr id="2" name="Rectangle 1">
          <a:extLst>
            <a:ext uri="{FF2B5EF4-FFF2-40B4-BE49-F238E27FC236}">
              <a16:creationId xmlns:a16="http://schemas.microsoft.com/office/drawing/2014/main" id="{00000000-0008-0000-2000-000002000000}"/>
            </a:ext>
          </a:extLst>
        </xdr:cNvPr>
        <xdr:cNvSpPr/>
      </xdr:nvSpPr>
      <xdr:spPr>
        <a:xfrm>
          <a:off x="400050" y="495299"/>
          <a:ext cx="857250" cy="24765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1280284</xdr:colOff>
      <xdr:row>8</xdr:row>
      <xdr:rowOff>95250</xdr:rowOff>
    </xdr:from>
    <xdr:to>
      <xdr:col>4</xdr:col>
      <xdr:colOff>2114550</xdr:colOff>
      <xdr:row>8</xdr:row>
      <xdr:rowOff>342900</xdr:rowOff>
    </xdr:to>
    <xdr:sp macro="[0]!'ValidateDirectandOverlappingDebt 1'" textlink="">
      <xdr:nvSpPr>
        <xdr:cNvPr id="3" name="Rectangle 2">
          <a:extLst>
            <a:ext uri="{FF2B5EF4-FFF2-40B4-BE49-F238E27FC236}">
              <a16:creationId xmlns:a16="http://schemas.microsoft.com/office/drawing/2014/main" id="{00000000-0008-0000-2000-000003000000}"/>
            </a:ext>
          </a:extLst>
        </xdr:cNvPr>
        <xdr:cNvSpPr/>
      </xdr:nvSpPr>
      <xdr:spPr>
        <a:xfrm>
          <a:off x="1461259" y="495300"/>
          <a:ext cx="834266"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247649</xdr:colOff>
      <xdr:row>8</xdr:row>
      <xdr:rowOff>114299</xdr:rowOff>
    </xdr:from>
    <xdr:to>
      <xdr:col>4</xdr:col>
      <xdr:colOff>1085850</xdr:colOff>
      <xdr:row>8</xdr:row>
      <xdr:rowOff>342900</xdr:rowOff>
    </xdr:to>
    <xdr:sp macro="[0]!home" textlink="">
      <xdr:nvSpPr>
        <xdr:cNvPr id="2" name="Rectangle 1">
          <a:extLst>
            <a:ext uri="{FF2B5EF4-FFF2-40B4-BE49-F238E27FC236}">
              <a16:creationId xmlns:a16="http://schemas.microsoft.com/office/drawing/2014/main" id="{00000000-0008-0000-2100-000002000000}"/>
            </a:ext>
          </a:extLst>
        </xdr:cNvPr>
        <xdr:cNvSpPr/>
      </xdr:nvSpPr>
      <xdr:spPr>
        <a:xfrm>
          <a:off x="428624" y="647699"/>
          <a:ext cx="838201" cy="22860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165859</xdr:colOff>
      <xdr:row>8</xdr:row>
      <xdr:rowOff>104774</xdr:rowOff>
    </xdr:from>
    <xdr:to>
      <xdr:col>5</xdr:col>
      <xdr:colOff>1057275</xdr:colOff>
      <xdr:row>8</xdr:row>
      <xdr:rowOff>342899</xdr:rowOff>
    </xdr:to>
    <xdr:sp macro="" textlink="">
      <xdr:nvSpPr>
        <xdr:cNvPr id="3" name="Rectangle 2">
          <a:extLst>
            <a:ext uri="{FF2B5EF4-FFF2-40B4-BE49-F238E27FC236}">
              <a16:creationId xmlns:a16="http://schemas.microsoft.com/office/drawing/2014/main" id="{00000000-0008-0000-2100-000003000000}"/>
            </a:ext>
          </a:extLst>
        </xdr:cNvPr>
        <xdr:cNvSpPr/>
      </xdr:nvSpPr>
      <xdr:spPr>
        <a:xfrm>
          <a:off x="2108959" y="104774"/>
          <a:ext cx="891416" cy="238125"/>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266700</xdr:colOff>
      <xdr:row>8</xdr:row>
      <xdr:rowOff>152400</xdr:rowOff>
    </xdr:from>
    <xdr:to>
      <xdr:col>4</xdr:col>
      <xdr:colOff>1076325</xdr:colOff>
      <xdr:row>8</xdr:row>
      <xdr:rowOff>361950</xdr:rowOff>
    </xdr:to>
    <xdr:sp macro="[0]!home" textlink="">
      <xdr:nvSpPr>
        <xdr:cNvPr id="2" name="Rectangle 1">
          <a:extLst>
            <a:ext uri="{FF2B5EF4-FFF2-40B4-BE49-F238E27FC236}">
              <a16:creationId xmlns:a16="http://schemas.microsoft.com/office/drawing/2014/main" id="{00000000-0008-0000-2200-000002000000}"/>
            </a:ext>
          </a:extLst>
        </xdr:cNvPr>
        <xdr:cNvSpPr/>
      </xdr:nvSpPr>
      <xdr:spPr>
        <a:xfrm>
          <a:off x="447675" y="495300"/>
          <a:ext cx="809625" cy="2095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203959</xdr:colOff>
      <xdr:row>8</xdr:row>
      <xdr:rowOff>152399</xdr:rowOff>
    </xdr:from>
    <xdr:to>
      <xdr:col>5</xdr:col>
      <xdr:colOff>1000125</xdr:colOff>
      <xdr:row>8</xdr:row>
      <xdr:rowOff>361950</xdr:rowOff>
    </xdr:to>
    <xdr:sp macro="" textlink="">
      <xdr:nvSpPr>
        <xdr:cNvPr id="3" name="Rectangle 2">
          <a:extLst>
            <a:ext uri="{FF2B5EF4-FFF2-40B4-BE49-F238E27FC236}">
              <a16:creationId xmlns:a16="http://schemas.microsoft.com/office/drawing/2014/main" id="{00000000-0008-0000-2200-000003000000}"/>
            </a:ext>
          </a:extLst>
        </xdr:cNvPr>
        <xdr:cNvSpPr/>
      </xdr:nvSpPr>
      <xdr:spPr>
        <a:xfrm>
          <a:off x="2775709" y="152399"/>
          <a:ext cx="796166" cy="20955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S8:Z30" totalsRowShown="0" headerRowDxfId="58" headerRowBorderDxfId="57" tableBorderDxfId="56">
  <tableColumns count="8">
    <tableColumn id="1" xr3:uid="{00000000-0010-0000-0000-000001000000}" name="name"/>
    <tableColumn id="2" xr3:uid="{00000000-0010-0000-0000-000002000000}" name="Tag Name" dataDxfId="55"/>
    <tableColumn id="3" xr3:uid="{00000000-0010-0000-0000-000003000000}" name="unitRef" dataDxfId="54"/>
    <tableColumn id="4" xr3:uid="{00000000-0010-0000-0000-000004000000}" name="contextRef" dataDxfId="53"/>
    <tableColumn id="5" xr3:uid="{00000000-0010-0000-0000-000005000000}" name="decimals"/>
    <tableColumn id="6" xr3:uid="{00000000-0010-0000-0000-000006000000}" name="format"/>
    <tableColumn id="8" xr3:uid="{79C86BDB-ED7F-418F-8516-A53B02C062C2}" name="id" dataDxfId="52"/>
    <tableColumn id="7" xr3:uid="{00000000-0010-0000-0000-000007000000}" name="scale"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53" displayName="Table153" ref="M8:S15" totalsRowShown="0" headerRowDxfId="50" dataDxfId="49">
  <autoFilter ref="M8:S15" xr:uid="{00000000-0009-0000-0100-000002000000}"/>
  <tableColumns count="7">
    <tableColumn id="1" xr3:uid="{00000000-0010-0000-0100-000001000000}" name="name" dataDxfId="48"/>
    <tableColumn id="2" xr3:uid="{00000000-0010-0000-0100-000002000000}" name="Tag Name" dataDxfId="47"/>
    <tableColumn id="3" xr3:uid="{00000000-0010-0000-0100-000003000000}" name="unitRef" dataDxfId="46"/>
    <tableColumn id="4" xr3:uid="{00000000-0010-0000-0100-000004000000}" name="contextRef" dataDxfId="45">
      <calculatedColumnFormula>TEXT(ROW(Table153[[#This Row],[contextRef]]) - ROW(Table153[[#Headers],[contextRef]]), "00000")</calculatedColumnFormula>
    </tableColumn>
    <tableColumn id="5" xr3:uid="{00000000-0010-0000-0100-000005000000}" name="decimals" dataDxfId="44"/>
    <tableColumn id="6" xr3:uid="{00000000-0010-0000-0100-000006000000}" name="format" dataDxfId="43"/>
    <tableColumn id="7" xr3:uid="{00000000-0010-0000-0100-000007000000}" name="id" dataDxfId="42">
      <calculatedColumnFormula>TEXT(ROW(Table153[[#This Row],[id]]) - ROW(Table153[[#Headers],[id]]), "00000")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E8:K15" totalsRowShown="0" headerRowDxfId="8" dataDxfId="7">
  <autoFilter ref="E8:K15"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200-000001000000}" name="name" dataDxfId="6"/>
    <tableColumn id="2" xr3:uid="{00000000-0010-0000-0200-000002000000}" name="Tag Name" dataDxfId="5"/>
    <tableColumn id="3" xr3:uid="{00000000-0010-0000-0200-000003000000}" name="unitRef" dataDxfId="4"/>
    <tableColumn id="4" xr3:uid="{00000000-0010-0000-0200-000004000000}" name="contextRef" dataDxfId="3">
      <calculatedColumnFormula>TEXT(ROW(Table1[[#This Row],[contextRef]]) - ROW(Table1[[#Headers],[contextRef]]), "00000")</calculatedColumnFormula>
    </tableColumn>
    <tableColumn id="5" xr3:uid="{00000000-0010-0000-0200-000005000000}" name="decimals" dataDxfId="2"/>
    <tableColumn id="6" xr3:uid="{00000000-0010-0000-0200-000006000000}" name="format" dataDxfId="1"/>
    <tableColumn id="7" xr3:uid="{00000000-0010-0000-0200-000007000000}" name="id" dataDxfId="0">
      <calculatedColumnFormula>TEXT(ROW(Table1[[#This Row],[id]]) - ROW(Table1[[#Headers],[id]]), "00000")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O53"/>
  <sheetViews>
    <sheetView showGridLines="0" tabSelected="1" topLeftCell="C7" workbookViewId="0">
      <selection activeCell="E12" sqref="E12"/>
    </sheetView>
  </sheetViews>
  <sheetFormatPr defaultColWidth="0" defaultRowHeight="15" zeroHeight="1" x14ac:dyDescent="0.25"/>
  <cols>
    <col min="1" max="1" width="9.140625" hidden="1" customWidth="1"/>
    <col min="2" max="2" width="3.42578125" hidden="1" customWidth="1"/>
    <col min="3" max="3" width="2.7109375" customWidth="1"/>
    <col min="4" max="4" width="33.28515625" customWidth="1"/>
    <col min="5" max="5" width="44" customWidth="1"/>
    <col min="6" max="6" width="8.42578125" customWidth="1"/>
    <col min="7" max="7" width="8.28515625" customWidth="1"/>
    <col min="8" max="8" width="2.7109375" customWidth="1"/>
    <col min="9" max="9" width="2.85546875" hidden="1" customWidth="1"/>
    <col min="10" max="41" width="0" hidden="1" customWidth="1"/>
    <col min="42" max="16384" width="2.5703125" hidden="1"/>
  </cols>
  <sheetData>
    <row r="1" spans="4:41" hidden="1" x14ac:dyDescent="0.25">
      <c r="K1" s="109" t="s">
        <v>199</v>
      </c>
      <c r="L1" s="109" t="s">
        <v>209</v>
      </c>
      <c r="M1" s="109" t="s">
        <v>208</v>
      </c>
      <c r="N1" s="109" t="s">
        <v>207</v>
      </c>
      <c r="O1" s="109" t="s">
        <v>206</v>
      </c>
      <c r="P1" s="109" t="s">
        <v>205</v>
      </c>
      <c r="Q1" s="109" t="s">
        <v>204</v>
      </c>
      <c r="R1" s="109" t="s">
        <v>203</v>
      </c>
      <c r="S1" s="109" t="s">
        <v>197</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x14ac:dyDescent="0.25">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x14ac:dyDescent="0.25"/>
    <row r="4" spans="4:41" hidden="1" x14ac:dyDescent="0.25"/>
    <row r="5" spans="4:41" hidden="1" x14ac:dyDescent="0.25">
      <c r="J5" s="27"/>
    </row>
    <row r="6" spans="4:41" hidden="1" x14ac:dyDescent="0.25"/>
    <row r="7" spans="4:41" ht="39.950000000000003" customHeight="1" x14ac:dyDescent="0.25"/>
    <row r="8" spans="4:41" ht="35.1" customHeight="1" x14ac:dyDescent="0.25">
      <c r="D8" s="663" t="s">
        <v>1929</v>
      </c>
      <c r="E8" s="664"/>
      <c r="F8" s="664"/>
      <c r="G8" s="665"/>
    </row>
    <row r="9" spans="4:41" ht="20.100000000000001" customHeight="1" x14ac:dyDescent="0.25">
      <c r="D9" s="108" t="s">
        <v>202</v>
      </c>
      <c r="E9" s="107" t="s">
        <v>201</v>
      </c>
      <c r="F9" s="666"/>
      <c r="G9" s="666"/>
    </row>
    <row r="10" spans="4:41" ht="20.100000000000001" customHeight="1" x14ac:dyDescent="0.25">
      <c r="D10" s="106" t="s">
        <v>200</v>
      </c>
      <c r="E10" s="105">
        <v>10</v>
      </c>
      <c r="F10" s="104" t="s">
        <v>199</v>
      </c>
      <c r="G10" s="104">
        <v>2016</v>
      </c>
    </row>
    <row r="11" spans="4:41" ht="20.100000000000001" customHeight="1" x14ac:dyDescent="0.25">
      <c r="D11" s="659" t="s">
        <v>198</v>
      </c>
      <c r="E11" s="660" t="s">
        <v>197</v>
      </c>
      <c r="F11" s="104">
        <v>30</v>
      </c>
      <c r="G11" s="104">
        <v>2017</v>
      </c>
    </row>
    <row r="12" spans="4:41" ht="45" customHeight="1" x14ac:dyDescent="0.25">
      <c r="D12" s="661" t="s">
        <v>1928</v>
      </c>
      <c r="E12" s="662" t="s">
        <v>1930</v>
      </c>
      <c r="F12" s="657"/>
      <c r="G12" s="658"/>
    </row>
    <row r="13" spans="4:41" x14ac:dyDescent="0.25"/>
    <row r="14" spans="4:41" x14ac:dyDescent="0.25"/>
    <row r="15" spans="4:41" ht="20.100000000000001" customHeight="1" x14ac:dyDescent="0.25">
      <c r="D15" s="667" t="s">
        <v>335</v>
      </c>
      <c r="E15" s="668"/>
      <c r="F15" s="669"/>
    </row>
    <row r="16" spans="4:41" x14ac:dyDescent="0.25">
      <c r="D16" s="356" t="s">
        <v>354</v>
      </c>
      <c r="E16" s="357" t="s">
        <v>356</v>
      </c>
      <c r="F16" s="358" t="s">
        <v>355</v>
      </c>
    </row>
    <row r="17" spans="4:8" x14ac:dyDescent="0.25">
      <c r="D17" s="359" t="s">
        <v>336</v>
      </c>
      <c r="E17" s="360">
        <v>50</v>
      </c>
      <c r="F17" s="361">
        <v>52</v>
      </c>
    </row>
    <row r="18" spans="4:8" x14ac:dyDescent="0.25">
      <c r="D18" s="359" t="s">
        <v>268</v>
      </c>
      <c r="E18" s="360">
        <v>51</v>
      </c>
      <c r="F18" s="361">
        <v>53</v>
      </c>
    </row>
    <row r="19" spans="4:8" x14ac:dyDescent="0.25">
      <c r="D19" s="359" t="s">
        <v>337</v>
      </c>
      <c r="E19" s="362" t="s">
        <v>352</v>
      </c>
      <c r="F19" s="363" t="s">
        <v>353</v>
      </c>
    </row>
    <row r="20" spans="4:8" x14ac:dyDescent="0.25">
      <c r="D20" s="364" t="s">
        <v>359</v>
      </c>
      <c r="E20" s="365" t="s">
        <v>353</v>
      </c>
      <c r="F20" s="366" t="s">
        <v>358</v>
      </c>
    </row>
    <row r="21" spans="4:8" x14ac:dyDescent="0.25">
      <c r="D21" s="367" t="s">
        <v>348</v>
      </c>
      <c r="E21" s="362" t="s">
        <v>358</v>
      </c>
      <c r="F21" s="363" t="s">
        <v>357</v>
      </c>
    </row>
    <row r="22" spans="4:8" x14ac:dyDescent="0.25">
      <c r="D22" s="368" t="s">
        <v>360</v>
      </c>
      <c r="E22" s="362">
        <v>58</v>
      </c>
      <c r="F22" s="363">
        <v>60</v>
      </c>
    </row>
    <row r="23" spans="4:8" x14ac:dyDescent="0.25">
      <c r="D23" s="367" t="s">
        <v>338</v>
      </c>
      <c r="E23" s="360">
        <v>59</v>
      </c>
      <c r="F23" s="361">
        <v>61</v>
      </c>
    </row>
    <row r="24" spans="4:8" x14ac:dyDescent="0.25">
      <c r="D24" s="367" t="s">
        <v>373</v>
      </c>
      <c r="E24" s="360">
        <v>60</v>
      </c>
      <c r="F24" s="361">
        <v>62</v>
      </c>
    </row>
    <row r="25" spans="4:8" x14ac:dyDescent="0.25">
      <c r="D25" s="367" t="s">
        <v>374</v>
      </c>
      <c r="E25" s="360">
        <v>61</v>
      </c>
      <c r="F25" s="361">
        <v>63</v>
      </c>
    </row>
    <row r="26" spans="4:8" x14ac:dyDescent="0.25">
      <c r="D26" s="367" t="s">
        <v>372</v>
      </c>
      <c r="E26" s="360">
        <v>62</v>
      </c>
      <c r="F26" s="361">
        <v>64</v>
      </c>
    </row>
    <row r="27" spans="4:8" x14ac:dyDescent="0.25">
      <c r="D27" s="368" t="s">
        <v>375</v>
      </c>
      <c r="E27" s="362">
        <v>63</v>
      </c>
      <c r="F27" s="363">
        <v>65</v>
      </c>
    </row>
    <row r="28" spans="4:8" x14ac:dyDescent="0.25">
      <c r="D28" s="367" t="s">
        <v>349</v>
      </c>
      <c r="E28" s="362" t="s">
        <v>362</v>
      </c>
      <c r="F28" s="363" t="s">
        <v>361</v>
      </c>
    </row>
    <row r="29" spans="4:8" x14ac:dyDescent="0.25">
      <c r="D29" s="367" t="s">
        <v>350</v>
      </c>
      <c r="E29" s="362" t="s">
        <v>363</v>
      </c>
      <c r="F29" s="363" t="s">
        <v>364</v>
      </c>
    </row>
    <row r="30" spans="4:8" x14ac:dyDescent="0.25">
      <c r="D30" s="367" t="s">
        <v>351</v>
      </c>
      <c r="E30" s="362" t="s">
        <v>364</v>
      </c>
      <c r="F30" s="363" t="s">
        <v>365</v>
      </c>
    </row>
    <row r="31" spans="4:8" x14ac:dyDescent="0.25">
      <c r="D31" s="368" t="s">
        <v>376</v>
      </c>
      <c r="E31" s="362" t="s">
        <v>379</v>
      </c>
      <c r="F31" s="363" t="s">
        <v>380</v>
      </c>
    </row>
    <row r="32" spans="4:8" x14ac:dyDescent="0.25">
      <c r="D32" s="367" t="s">
        <v>63</v>
      </c>
      <c r="E32" s="360" t="s">
        <v>377</v>
      </c>
      <c r="F32" s="361" t="s">
        <v>378</v>
      </c>
      <c r="H32" s="510" t="s">
        <v>382</v>
      </c>
    </row>
    <row r="33" spans="4:6" x14ac:dyDescent="0.25">
      <c r="D33" s="369" t="s">
        <v>381</v>
      </c>
      <c r="E33" s="362" t="s">
        <v>384</v>
      </c>
      <c r="F33" s="363" t="s">
        <v>383</v>
      </c>
    </row>
    <row r="34" spans="4:6" x14ac:dyDescent="0.25">
      <c r="D34" s="367" t="s">
        <v>392</v>
      </c>
      <c r="E34" s="362" t="s">
        <v>393</v>
      </c>
      <c r="F34" s="363" t="s">
        <v>391</v>
      </c>
    </row>
    <row r="35" spans="4:6" x14ac:dyDescent="0.25">
      <c r="D35" s="369" t="s">
        <v>394</v>
      </c>
      <c r="E35" s="362" t="s">
        <v>396</v>
      </c>
      <c r="F35" s="363" t="s">
        <v>395</v>
      </c>
    </row>
    <row r="36" spans="4:6" x14ac:dyDescent="0.25">
      <c r="D36" s="367" t="s">
        <v>386</v>
      </c>
      <c r="E36" s="360">
        <f>F36-2</f>
        <v>167</v>
      </c>
      <c r="F36" s="361">
        <v>169</v>
      </c>
    </row>
    <row r="37" spans="4:6" x14ac:dyDescent="0.25">
      <c r="D37" s="367" t="s">
        <v>387</v>
      </c>
      <c r="E37" s="360">
        <f>F37-2</f>
        <v>168</v>
      </c>
      <c r="F37" s="361">
        <v>170</v>
      </c>
    </row>
    <row r="38" spans="4:6" x14ac:dyDescent="0.25">
      <c r="D38" s="367" t="s">
        <v>388</v>
      </c>
      <c r="E38" s="360">
        <f>F38-2</f>
        <v>169</v>
      </c>
      <c r="F38" s="361">
        <v>171</v>
      </c>
    </row>
    <row r="39" spans="4:6" x14ac:dyDescent="0.25">
      <c r="D39" s="369" t="s">
        <v>390</v>
      </c>
      <c r="E39" s="360">
        <f>F39-2</f>
        <v>170</v>
      </c>
      <c r="F39" s="361">
        <v>172</v>
      </c>
    </row>
    <row r="40" spans="4:6" x14ac:dyDescent="0.25">
      <c r="D40" s="367" t="s">
        <v>389</v>
      </c>
      <c r="E40" s="360">
        <f>F40-2</f>
        <v>171</v>
      </c>
      <c r="F40" s="361">
        <v>173</v>
      </c>
    </row>
    <row r="41" spans="4:6" x14ac:dyDescent="0.25">
      <c r="D41" s="369" t="s">
        <v>397</v>
      </c>
      <c r="E41" s="362" t="s">
        <v>399</v>
      </c>
      <c r="F41" s="363" t="s">
        <v>398</v>
      </c>
    </row>
    <row r="42" spans="4:6" x14ac:dyDescent="0.25">
      <c r="D42" s="367" t="s">
        <v>339</v>
      </c>
      <c r="E42" s="360">
        <v>243</v>
      </c>
      <c r="F42" s="361">
        <v>245</v>
      </c>
    </row>
    <row r="43" spans="4:6" x14ac:dyDescent="0.25">
      <c r="D43" s="367" t="s">
        <v>340</v>
      </c>
      <c r="E43" s="362" t="s">
        <v>401</v>
      </c>
      <c r="F43" s="363" t="s">
        <v>400</v>
      </c>
    </row>
    <row r="44" spans="4:6" x14ac:dyDescent="0.25">
      <c r="D44" s="367" t="s">
        <v>341</v>
      </c>
      <c r="E44" s="360">
        <v>246</v>
      </c>
      <c r="F44" s="361">
        <v>248</v>
      </c>
    </row>
    <row r="45" spans="4:6" x14ac:dyDescent="0.25">
      <c r="D45" s="367" t="s">
        <v>342</v>
      </c>
      <c r="E45" s="360">
        <v>247</v>
      </c>
      <c r="F45" s="361">
        <v>249</v>
      </c>
    </row>
    <row r="46" spans="4:6" x14ac:dyDescent="0.25">
      <c r="D46" s="369" t="s">
        <v>402</v>
      </c>
      <c r="E46" s="362" t="s">
        <v>405</v>
      </c>
      <c r="F46" s="363" t="s">
        <v>406</v>
      </c>
    </row>
    <row r="47" spans="4:6" x14ac:dyDescent="0.25">
      <c r="D47" s="367" t="s">
        <v>343</v>
      </c>
      <c r="E47" s="360">
        <f>F47-2</f>
        <v>256</v>
      </c>
      <c r="F47" s="361">
        <v>258</v>
      </c>
    </row>
    <row r="48" spans="4:6" x14ac:dyDescent="0.25">
      <c r="D48" s="367" t="s">
        <v>344</v>
      </c>
      <c r="E48" s="360">
        <f>F48-2</f>
        <v>257</v>
      </c>
      <c r="F48" s="361">
        <v>259</v>
      </c>
    </row>
    <row r="49" spans="4:6" x14ac:dyDescent="0.25">
      <c r="D49" s="367" t="s">
        <v>347</v>
      </c>
      <c r="E49" s="360">
        <f>F49-2</f>
        <v>258</v>
      </c>
      <c r="F49" s="361">
        <v>260</v>
      </c>
    </row>
    <row r="50" spans="4:6" x14ac:dyDescent="0.25">
      <c r="D50" s="367" t="s">
        <v>179</v>
      </c>
      <c r="E50" s="360">
        <f>F50-2</f>
        <v>259</v>
      </c>
      <c r="F50" s="361">
        <v>261</v>
      </c>
    </row>
    <row r="51" spans="4:6" x14ac:dyDescent="0.25">
      <c r="D51" s="367" t="s">
        <v>345</v>
      </c>
      <c r="E51" s="362" t="s">
        <v>404</v>
      </c>
      <c r="F51" s="361" t="s">
        <v>403</v>
      </c>
    </row>
    <row r="52" spans="4:6" x14ac:dyDescent="0.25">
      <c r="D52" s="370" t="s">
        <v>409</v>
      </c>
      <c r="E52" s="371" t="s">
        <v>408</v>
      </c>
      <c r="F52" s="372" t="s">
        <v>407</v>
      </c>
    </row>
    <row r="53" spans="4:6" x14ac:dyDescent="0.25"/>
  </sheetData>
  <sheetProtection algorithmName="SHA-512" hashValue="9pmD9blJae3OKGLV9fqwvuWM7rtKrfbn9MRnYdtd8KRC83aakpIAwLgcMCM/VLJFwjXJCIS/aFLxwBCZ0uaO/g==" saltValue="kBMxIOwVnRHn5uS+lri75g==" spinCount="100000" sheet="1" objects="1" scenarios="1"/>
  <mergeCells count="3">
    <mergeCell ref="D8:G8"/>
    <mergeCell ref="F9:G9"/>
    <mergeCell ref="D15:F15"/>
  </mergeCells>
  <dataValidations count="3">
    <dataValidation type="list" allowBlank="1" showInputMessage="1" showErrorMessage="1" sqref="G10:G11" xr:uid="{00000000-0002-0000-0000-000000000000}">
      <formula1>$K$2:$O$2</formula1>
    </dataValidation>
    <dataValidation type="list" allowBlank="1" showInputMessage="1" showErrorMessage="1" sqref="E10:E11" xr:uid="{00000000-0002-0000-0000-000001000000}">
      <formula1>$K$1:$V$1</formula1>
    </dataValidation>
    <dataValidation type="list" allowBlank="1" showInputMessage="1" showErrorMessage="1" sqref="F10:F11" xr:uid="{00000000-0002-0000-0000-000002000000}">
      <formula1>$K$1:$AO$1</formula1>
    </dataValidation>
  </dataValidations>
  <hyperlinks>
    <hyperlink ref="D17" location="'Statement of Net Position'!A1" display="Statement of Net Position" xr:uid="{00000000-0004-0000-0000-000000000000}"/>
    <hyperlink ref="D18" location="'Statement of Activities'!A1" display="Statement of Activities" xr:uid="{00000000-0004-0000-0000-000001000000}"/>
    <hyperlink ref="D19" location="'Governmental Fund Balance Sheet'!A1" display="Governmental Fund Balance Sheet" xr:uid="{00000000-0004-0000-0000-000002000000}"/>
    <hyperlink ref="D21" location="'Gov Fund Stmt of Rev Exp &amp; Bal'!A1" display="Gov Fund Stmt of Rev Exp &amp; Bal" xr:uid="{00000000-0004-0000-0000-000003000000}"/>
    <hyperlink ref="D28" location="'Prop Fund Stmt of Net Position'!A1" display="Prop Fund Stmt of Net Position" xr:uid="{00000000-0004-0000-0000-000004000000}"/>
    <hyperlink ref="D29" location="'Prop Fund Stmt Rev Exp &amp; Bal'!A1" display="Prop Fund Stmt Rev Exp &amp; Bal" xr:uid="{00000000-0004-0000-0000-000005000000}"/>
    <hyperlink ref="D30" location="'General Info'!A1" display="Stmt of Cash Flow - Prop Funds" xr:uid="{00000000-0004-0000-0000-000006000000}"/>
    <hyperlink ref="D23" location="'Budget and Actual General Fund'!A1" display="'Budget and Actual General Fund'!A1" xr:uid="{00000000-0004-0000-0000-000007000000}"/>
    <hyperlink ref="D24" location="'B&amp;A Community Redevelopment'!A1" display="B&amp;A Community Redevelopment" xr:uid="{00000000-0004-0000-0000-000008000000}"/>
    <hyperlink ref="D25" location="'B&amp;A Downtown Redevelopment'!A1" display="B&amp;A Downtown Redevelopment" xr:uid="{00000000-0004-0000-0000-000009000000}"/>
    <hyperlink ref="D32" location="'LONG - TERM OBLIGATIONS'!A1" display="'LONG - TERM OBLIGATIONS'!A1" xr:uid="{00000000-0004-0000-0000-00000A000000}"/>
    <hyperlink ref="D36" location="'RSI Employees’ Retirement'!A1" display="RSI Employees’ Retirement" xr:uid="{00000000-0004-0000-0000-00000B000000}"/>
    <hyperlink ref="D37" location="'RSI Firefighters'' Retirement'!A1" display="RSI Firefighters' Retirement" xr:uid="{00000000-0004-0000-0000-00000C000000}"/>
    <hyperlink ref="D38" location="'RSI Police Officers Retirement '!A1" display="RSI Police Officers' Retirement " xr:uid="{00000000-0004-0000-0000-00000D000000}"/>
    <hyperlink ref="D40" location="'RSI Pension Contributions'!A1" display="RSI Pension Contributions" xr:uid="{00000000-0004-0000-0000-00000E000000}"/>
    <hyperlink ref="D42" location="'Net Position By Component 10 Yr'!A1" display="Net Position By Component" xr:uid="{00000000-0004-0000-0000-00000F000000}"/>
    <hyperlink ref="D43" location="'Changes in Net Position 10 Yr '!A1" display="Changes in Net Position " xr:uid="{00000000-0004-0000-0000-000010000000}"/>
    <hyperlink ref="D44" location="'Fund Balances, Gov Funds 10 Yr'!A1" display="Fund Balances" xr:uid="{00000000-0004-0000-0000-000011000000}"/>
    <hyperlink ref="D45" location="'Changes in Fund Balances 10Yr '!A1" display="Changes in Fund Balances " xr:uid="{00000000-0004-0000-0000-000012000000}"/>
    <hyperlink ref="D47" location="'Ratio of Outstanding Debt 10Yr'!A1" display="Ratio of Outstanding Debt" xr:uid="{00000000-0004-0000-0000-000013000000}"/>
    <hyperlink ref="D48" location="'Ratio of Net Gen Bond Debt 10Yr'!A1" display="Ratio of Net General Bonded" xr:uid="{00000000-0004-0000-0000-000014000000}"/>
    <hyperlink ref="D49" location="'Direct and Overlapping Debt'!A1" display="Direct and Overlapping Debt" xr:uid="{00000000-0004-0000-0000-000015000000}"/>
    <hyperlink ref="D50" location="'Legal Debt Margin 10Yr'!A1" display="Legal Debt Margin" xr:uid="{00000000-0004-0000-0000-000016000000}"/>
    <hyperlink ref="D51" location="'Pledged-Revenue Coverage 5Yr'!A1" display="Pledged-Revenue Coverage" xr:uid="{00000000-0004-0000-0000-000017000000}"/>
    <hyperlink ref="D26" location="'Budget and Actual Grants'!A1" display="Budget and Actual Grants" xr:uid="{00000000-0004-0000-0000-000018000000}"/>
    <hyperlink ref="D34" location="'Footnotes 18-22'!A1" display="Footnotes 18-22" xr:uid="{00000000-0004-0000-0000-000019000000}"/>
  </hyperlink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79"/>
  <sheetViews>
    <sheetView showGridLines="0" topLeftCell="F9" workbookViewId="0">
      <selection activeCell="F9" sqref="F9"/>
    </sheetView>
  </sheetViews>
  <sheetFormatPr defaultColWidth="0" defaultRowHeight="15" zeroHeight="1" x14ac:dyDescent="0.25"/>
  <cols>
    <col min="1" max="5" width="2.7109375" style="373" hidden="1" customWidth="1"/>
    <col min="6" max="6" width="2.7109375" style="373" customWidth="1"/>
    <col min="7" max="7" width="51.5703125" style="201" bestFit="1" customWidth="1"/>
    <col min="8" max="11" width="20.7109375" style="201" customWidth="1"/>
    <col min="12" max="12" width="2.7109375" style="373" customWidth="1"/>
    <col min="13" max="13" width="3" style="201" hidden="1" customWidth="1"/>
    <col min="14" max="17" width="0" style="201" hidden="1" customWidth="1"/>
    <col min="18" max="16384" width="9.140625" style="201" hidden="1"/>
  </cols>
  <sheetData>
    <row r="1" spans="7:13" hidden="1" x14ac:dyDescent="0.25"/>
    <row r="2" spans="7:13" hidden="1" x14ac:dyDescent="0.25"/>
    <row r="3" spans="7:13" hidden="1" x14ac:dyDescent="0.25"/>
    <row r="4" spans="7:13" hidden="1" x14ac:dyDescent="0.25"/>
    <row r="5" spans="7:13" hidden="1" x14ac:dyDescent="0.25"/>
    <row r="6" spans="7:13" hidden="1" x14ac:dyDescent="0.25"/>
    <row r="7" spans="7:13" hidden="1" x14ac:dyDescent="0.25"/>
    <row r="8" spans="7:13" ht="36" hidden="1" customHeight="1" x14ac:dyDescent="0.25">
      <c r="G8"/>
    </row>
    <row r="9" spans="7:13" ht="39.950000000000003" customHeight="1" x14ac:dyDescent="0.25">
      <c r="G9" s="202"/>
      <c r="H9" s="202"/>
      <c r="I9" s="202"/>
      <c r="J9" s="202"/>
      <c r="K9" s="202"/>
      <c r="L9" s="374"/>
      <c r="M9" s="202"/>
    </row>
    <row r="10" spans="7:13" ht="24.95" customHeight="1" x14ac:dyDescent="0.25">
      <c r="G10" s="676" t="s">
        <v>239</v>
      </c>
      <c r="H10" s="677"/>
      <c r="I10" s="677"/>
      <c r="J10" s="678"/>
      <c r="K10" s="679" t="s">
        <v>346</v>
      </c>
    </row>
    <row r="11" spans="7:13" ht="24.95" customHeight="1" x14ac:dyDescent="0.25">
      <c r="G11" s="682" t="s">
        <v>1</v>
      </c>
      <c r="H11" s="676" t="s">
        <v>238</v>
      </c>
      <c r="I11" s="677"/>
      <c r="J11" s="678"/>
      <c r="K11" s="680"/>
    </row>
    <row r="12" spans="7:13" ht="45.75" customHeight="1" x14ac:dyDescent="0.25">
      <c r="G12" s="683"/>
      <c r="H12" s="188" t="s">
        <v>64</v>
      </c>
      <c r="I12" s="188" t="s">
        <v>237</v>
      </c>
      <c r="J12" s="352" t="s">
        <v>236</v>
      </c>
      <c r="K12" s="191" t="s">
        <v>437</v>
      </c>
    </row>
    <row r="13" spans="7:13" ht="20.100000000000001" customHeight="1" x14ac:dyDescent="0.25">
      <c r="G13" s="2" t="s">
        <v>235</v>
      </c>
      <c r="H13" s="670"/>
      <c r="I13" s="671"/>
      <c r="J13" s="671"/>
      <c r="K13" s="672"/>
    </row>
    <row r="14" spans="7:13" x14ac:dyDescent="0.25">
      <c r="G14" s="289" t="s">
        <v>447</v>
      </c>
      <c r="H14" s="413">
        <v>68483130</v>
      </c>
      <c r="I14" s="413">
        <v>22460022</v>
      </c>
      <c r="J14" s="511">
        <f>+IF(COUNT(H14:I14),SUM(H14:I14),"")</f>
        <v>90943152</v>
      </c>
      <c r="K14" s="413">
        <v>15330</v>
      </c>
      <c r="L14" s="177"/>
      <c r="M14" s="203"/>
    </row>
    <row r="15" spans="7:13" x14ac:dyDescent="0.25">
      <c r="G15" s="290" t="s">
        <v>438</v>
      </c>
      <c r="H15" s="413">
        <v>255185221</v>
      </c>
      <c r="I15" s="413">
        <v>144627608</v>
      </c>
      <c r="J15" s="511">
        <f t="shared" ref="J15:J30" si="0">+IF(COUNT(H15:I15),SUM(H15:I15),"")</f>
        <v>399812829</v>
      </c>
      <c r="K15" s="413">
        <v>55186</v>
      </c>
      <c r="L15" s="177"/>
      <c r="M15" s="203"/>
    </row>
    <row r="16" spans="7:13" x14ac:dyDescent="0.25">
      <c r="G16" s="290" t="s">
        <v>439</v>
      </c>
      <c r="H16" s="413">
        <v>19180345</v>
      </c>
      <c r="I16" s="413">
        <v>20354723</v>
      </c>
      <c r="J16" s="511">
        <f t="shared" si="0"/>
        <v>39535068</v>
      </c>
      <c r="K16" s="413">
        <v>0</v>
      </c>
      <c r="L16" s="177"/>
      <c r="M16" s="203"/>
    </row>
    <row r="17" spans="7:13" x14ac:dyDescent="0.25">
      <c r="G17" s="290" t="s">
        <v>441</v>
      </c>
      <c r="H17" s="413">
        <v>24056939</v>
      </c>
      <c r="I17" s="413">
        <v>-24056939</v>
      </c>
      <c r="J17" s="511">
        <v>0</v>
      </c>
      <c r="K17" s="413">
        <v>0</v>
      </c>
      <c r="L17" s="177"/>
      <c r="M17" s="203"/>
    </row>
    <row r="18" spans="7:13" x14ac:dyDescent="0.25">
      <c r="G18" s="290" t="s">
        <v>442</v>
      </c>
      <c r="H18" s="413">
        <v>13879989</v>
      </c>
      <c r="I18" s="413">
        <v>14963944</v>
      </c>
      <c r="J18" s="511">
        <f t="shared" si="0"/>
        <v>28843933</v>
      </c>
      <c r="K18" s="413">
        <v>0</v>
      </c>
      <c r="L18" s="177"/>
      <c r="M18" s="203"/>
    </row>
    <row r="19" spans="7:13" x14ac:dyDescent="0.25">
      <c r="G19" s="290" t="s">
        <v>320</v>
      </c>
      <c r="H19" s="413">
        <v>1395315</v>
      </c>
      <c r="I19" s="413">
        <v>1358928</v>
      </c>
      <c r="J19" s="511">
        <f t="shared" si="0"/>
        <v>2754243</v>
      </c>
      <c r="K19" s="413">
        <v>0</v>
      </c>
      <c r="L19" s="177"/>
      <c r="M19" s="203"/>
    </row>
    <row r="20" spans="7:13" x14ac:dyDescent="0.25">
      <c r="G20" s="290" t="s">
        <v>443</v>
      </c>
      <c r="H20" s="413">
        <v>3979685</v>
      </c>
      <c r="I20" s="413">
        <v>0</v>
      </c>
      <c r="J20" s="511">
        <f t="shared" si="0"/>
        <v>3979685</v>
      </c>
      <c r="K20" s="413">
        <v>0</v>
      </c>
      <c r="L20" s="177"/>
      <c r="M20" s="203"/>
    </row>
    <row r="21" spans="7:13" x14ac:dyDescent="0.25">
      <c r="G21" s="290" t="s">
        <v>444</v>
      </c>
      <c r="H21" s="413">
        <v>3589667</v>
      </c>
      <c r="I21" s="413">
        <v>21263</v>
      </c>
      <c r="J21" s="511">
        <f t="shared" si="0"/>
        <v>3610930</v>
      </c>
      <c r="K21" s="413">
        <v>0</v>
      </c>
      <c r="L21" s="177"/>
      <c r="M21" s="203"/>
    </row>
    <row r="22" spans="7:13" x14ac:dyDescent="0.25">
      <c r="G22" s="293" t="s">
        <v>445</v>
      </c>
      <c r="H22" s="413">
        <v>0</v>
      </c>
      <c r="I22" s="413">
        <v>13881925</v>
      </c>
      <c r="J22" s="511">
        <f t="shared" si="0"/>
        <v>13881925</v>
      </c>
      <c r="K22" s="413">
        <v>0</v>
      </c>
      <c r="L22" s="177"/>
      <c r="M22" s="203"/>
    </row>
    <row r="23" spans="7:13" ht="20.100000000000001" customHeight="1" x14ac:dyDescent="0.25">
      <c r="G23" s="10" t="s">
        <v>446</v>
      </c>
      <c r="H23" s="673"/>
      <c r="I23" s="674"/>
      <c r="J23" s="674"/>
      <c r="K23" s="675"/>
      <c r="L23" s="177"/>
      <c r="M23" s="203"/>
    </row>
    <row r="24" spans="7:13" x14ac:dyDescent="0.25">
      <c r="G24" s="289" t="s">
        <v>802</v>
      </c>
      <c r="H24" s="414">
        <v>80675545</v>
      </c>
      <c r="I24" s="414">
        <v>22016598</v>
      </c>
      <c r="J24" s="205">
        <f t="shared" si="0"/>
        <v>102692143</v>
      </c>
      <c r="K24" s="414">
        <v>0</v>
      </c>
      <c r="L24" s="177"/>
      <c r="M24" s="203"/>
    </row>
    <row r="25" spans="7:13" ht="15.75" x14ac:dyDescent="0.25">
      <c r="G25" s="384" t="s">
        <v>911</v>
      </c>
      <c r="H25" s="415">
        <v>28958128</v>
      </c>
      <c r="I25" s="415">
        <v>64128684</v>
      </c>
      <c r="J25" s="208">
        <f t="shared" si="0"/>
        <v>93086812</v>
      </c>
      <c r="K25" s="415">
        <v>0</v>
      </c>
      <c r="L25" s="177"/>
      <c r="M25" s="203"/>
    </row>
    <row r="26" spans="7:13" ht="20.100000000000001" customHeight="1" x14ac:dyDescent="0.25">
      <c r="G26" s="351" t="s">
        <v>760</v>
      </c>
      <c r="H26" s="204">
        <f>IF(COUNT(H24:H25),SUM(H24:H25),"")</f>
        <v>109633673</v>
      </c>
      <c r="I26" s="204">
        <f>IF(COUNT(I24:I25),SUM(I24:I25),"")</f>
        <v>86145282</v>
      </c>
      <c r="J26" s="204">
        <f>IF(COUNT(J24:J25),SUM(J24:J25),"")</f>
        <v>195778955</v>
      </c>
      <c r="K26" s="204">
        <f>IF(COUNT(K24:K25),SUM(K24:K25),"")</f>
        <v>0</v>
      </c>
      <c r="L26" s="177"/>
      <c r="M26" s="203"/>
    </row>
    <row r="27" spans="7:13" x14ac:dyDescent="0.25">
      <c r="G27" s="292" t="s">
        <v>448</v>
      </c>
      <c r="H27" s="416">
        <v>22485356</v>
      </c>
      <c r="I27" s="416">
        <v>0</v>
      </c>
      <c r="J27" s="208">
        <f t="shared" si="0"/>
        <v>22485356</v>
      </c>
      <c r="K27" s="417">
        <v>0</v>
      </c>
      <c r="L27" s="177"/>
      <c r="M27" s="203"/>
    </row>
    <row r="28" spans="7:13" ht="20.100000000000001" customHeight="1" x14ac:dyDescent="0.25">
      <c r="G28" s="2" t="s">
        <v>449</v>
      </c>
      <c r="H28" s="681"/>
      <c r="I28" s="681"/>
      <c r="J28" s="681"/>
      <c r="K28" s="681"/>
      <c r="L28" s="177"/>
      <c r="M28" s="203"/>
    </row>
    <row r="29" spans="7:13" x14ac:dyDescent="0.25">
      <c r="G29" s="289" t="s">
        <v>232</v>
      </c>
      <c r="H29" s="418">
        <v>120614642</v>
      </c>
      <c r="I29" s="418">
        <v>29789081</v>
      </c>
      <c r="J29" s="212">
        <f t="shared" si="0"/>
        <v>150403723</v>
      </c>
      <c r="K29" s="418">
        <v>0</v>
      </c>
      <c r="L29" s="177"/>
      <c r="M29" s="203"/>
    </row>
    <row r="30" spans="7:13" x14ac:dyDescent="0.25">
      <c r="G30" s="293" t="s">
        <v>231</v>
      </c>
      <c r="H30" s="415">
        <v>18029480</v>
      </c>
      <c r="I30" s="415">
        <v>86147961</v>
      </c>
      <c r="J30" s="208">
        <f t="shared" si="0"/>
        <v>104177441</v>
      </c>
      <c r="K30" s="415">
        <v>0</v>
      </c>
      <c r="L30" s="177"/>
      <c r="M30" s="203"/>
    </row>
    <row r="31" spans="7:13" ht="20.100000000000001" customHeight="1" x14ac:dyDescent="0.25">
      <c r="G31" s="383" t="s">
        <v>803</v>
      </c>
      <c r="H31" s="110">
        <f>IF(COUNT(H29:H30),SUM(H29:H30),"")</f>
        <v>138644122</v>
      </c>
      <c r="I31" s="110">
        <f>IF(COUNT(I29:I30),SUM(I29:I30),"")</f>
        <v>115937042</v>
      </c>
      <c r="J31" s="110">
        <f>IF(COUNT(J29:J30),SUM(J29:J30),"")</f>
        <v>254581164</v>
      </c>
      <c r="K31" s="110">
        <f>IF(COUNT(K29:K30),SUM(K29:K30),"")</f>
        <v>0</v>
      </c>
      <c r="L31" s="177"/>
      <c r="M31" s="203"/>
    </row>
    <row r="32" spans="7:13" ht="20.100000000000001" customHeight="1" x14ac:dyDescent="0.25">
      <c r="G32" s="294" t="s">
        <v>450</v>
      </c>
      <c r="H32" s="681"/>
      <c r="I32" s="681"/>
      <c r="J32" s="681"/>
      <c r="K32" s="681"/>
      <c r="L32" s="177"/>
      <c r="M32" s="203"/>
    </row>
    <row r="33" spans="7:13" x14ac:dyDescent="0.25">
      <c r="G33" s="295" t="s">
        <v>451</v>
      </c>
      <c r="H33" s="413">
        <v>63389425</v>
      </c>
      <c r="I33" s="413">
        <v>144707939</v>
      </c>
      <c r="J33" s="511">
        <f>+IF(COUNT(H33:I33),SUM(H33:I33),"")</f>
        <v>208097364</v>
      </c>
      <c r="K33" s="413">
        <v>0</v>
      </c>
      <c r="L33" s="177"/>
      <c r="M33" s="203"/>
    </row>
    <row r="34" spans="7:13" x14ac:dyDescent="0.25">
      <c r="G34" s="296" t="s">
        <v>452</v>
      </c>
      <c r="H34" s="413">
        <v>149576805</v>
      </c>
      <c r="I34" s="413">
        <v>24229078</v>
      </c>
      <c r="J34" s="511">
        <f>+IF(COUNT(H34:I34),SUM(H34:I34),"")</f>
        <v>173805883</v>
      </c>
      <c r="K34" s="413">
        <v>0</v>
      </c>
      <c r="L34" s="177"/>
      <c r="M34" s="203"/>
    </row>
    <row r="35" spans="7:13" x14ac:dyDescent="0.25">
      <c r="G35" s="296" t="s">
        <v>453</v>
      </c>
      <c r="H35" s="413">
        <v>25737560</v>
      </c>
      <c r="I35" s="413">
        <v>17381858</v>
      </c>
      <c r="J35" s="511">
        <f>+IF(COUNT(H35:I35),SUM(H35:I35),"")</f>
        <v>43119418</v>
      </c>
      <c r="K35" s="413">
        <v>0</v>
      </c>
      <c r="L35" s="177"/>
      <c r="M35" s="203"/>
    </row>
    <row r="36" spans="7:13" x14ac:dyDescent="0.25">
      <c r="G36" s="297" t="s">
        <v>454</v>
      </c>
      <c r="H36" s="413">
        <v>0</v>
      </c>
      <c r="I36" s="413">
        <v>611828146</v>
      </c>
      <c r="J36" s="511">
        <f>+IF(COUNT(H36:I36),SUM(H36:I36),"")</f>
        <v>611828146</v>
      </c>
      <c r="K36" s="413">
        <v>0</v>
      </c>
      <c r="L36" s="177"/>
      <c r="M36" s="203"/>
    </row>
    <row r="37" spans="7:13" ht="20.100000000000001" customHeight="1" x14ac:dyDescent="0.25">
      <c r="G37" s="41" t="s">
        <v>455</v>
      </c>
      <c r="H37" s="196">
        <f>IF(COUNT(H33:H36),SUM(H33:H36),"")</f>
        <v>238703790</v>
      </c>
      <c r="I37" s="196">
        <f>SUM(I33:I36)</f>
        <v>798147021</v>
      </c>
      <c r="J37" s="196">
        <f>SUM(J33:J36)</f>
        <v>1036850811</v>
      </c>
      <c r="K37" s="196">
        <f>SUM(K33:K36)</f>
        <v>0</v>
      </c>
      <c r="L37" s="177"/>
      <c r="M37" s="203"/>
    </row>
    <row r="38" spans="7:13" ht="20.100000000000001" customHeight="1" x14ac:dyDescent="0.25">
      <c r="G38" s="190" t="s">
        <v>230</v>
      </c>
      <c r="H38" s="110">
        <f>IF(COUNT(H14:H22,H26,H27,H31,H37),SUM(H14:H22)+SUM(H26:H27)+SUM(H31)+SUM(H37),"")</f>
        <v>899217232</v>
      </c>
      <c r="I38" s="110">
        <f>IF(COUNT(I14:I22,I26,I27,I31,I37),SUM(I14:I22)+SUM(I26:I27)+SUM(I31)+SUM(I37),"")</f>
        <v>1193840819</v>
      </c>
      <c r="J38" s="110">
        <f>IF(COUNT(J14:J22,J26,J27,J31,J37),SUM(J14:J22)+SUM(J26:J27)+SUM(J31)+SUM(J37),"")</f>
        <v>2093058051</v>
      </c>
      <c r="K38" s="110">
        <f>IF(COUNT(K14:K22,K26,K27,K31,K37),SUM(K14:K22)+SUM(K26:K27)+SUM(K31)+SUM(K37),"")</f>
        <v>70516</v>
      </c>
      <c r="L38" s="177"/>
      <c r="M38" s="203"/>
    </row>
    <row r="39" spans="7:13" ht="20.100000000000001" customHeight="1" x14ac:dyDescent="0.25">
      <c r="G39" s="2" t="s">
        <v>229</v>
      </c>
      <c r="H39" s="673"/>
      <c r="I39" s="674"/>
      <c r="J39" s="674"/>
      <c r="K39" s="675"/>
      <c r="L39" s="177"/>
      <c r="M39" s="203"/>
    </row>
    <row r="40" spans="7:13" x14ac:dyDescent="0.25">
      <c r="G40" s="289" t="s">
        <v>456</v>
      </c>
      <c r="H40" s="413">
        <v>748171</v>
      </c>
      <c r="I40" s="413">
        <v>8285809</v>
      </c>
      <c r="J40" s="511">
        <f>+IF(COUNT(H40:I40),SUM(H40:I40),"")</f>
        <v>9033980</v>
      </c>
      <c r="K40" s="413">
        <v>0</v>
      </c>
      <c r="L40" s="177"/>
      <c r="M40" s="203"/>
    </row>
    <row r="41" spans="7:13" x14ac:dyDescent="0.25">
      <c r="G41" s="293" t="s">
        <v>457</v>
      </c>
      <c r="H41" s="415">
        <v>58623103</v>
      </c>
      <c r="I41" s="415">
        <v>11646709</v>
      </c>
      <c r="J41" s="208">
        <f>+IF(COUNT(H41:I41),SUM(H41:I41),"")</f>
        <v>70269812</v>
      </c>
      <c r="K41" s="415">
        <v>0</v>
      </c>
      <c r="L41" s="177"/>
      <c r="M41" s="203"/>
    </row>
    <row r="42" spans="7:13" ht="20.100000000000001" customHeight="1" x14ac:dyDescent="0.25">
      <c r="G42" s="193" t="s">
        <v>228</v>
      </c>
      <c r="H42" s="110">
        <f>IF(COUNT(H40:H41),SUM(H40:H41),"")</f>
        <v>59371274</v>
      </c>
      <c r="I42" s="110">
        <f>IF(COUNT(I40:I41),SUM(I40:I41),"")</f>
        <v>19932518</v>
      </c>
      <c r="J42" s="110">
        <f>IF(COUNT(J40:J41),SUM(J40:J41),"")</f>
        <v>79303792</v>
      </c>
      <c r="K42" s="110">
        <f>IF(COUNT(K40:K41),SUM(K40:K41),"")</f>
        <v>0</v>
      </c>
      <c r="L42" s="177"/>
      <c r="M42" s="203"/>
    </row>
    <row r="43" spans="7:13" ht="20.100000000000001" customHeight="1" x14ac:dyDescent="0.25">
      <c r="G43" s="198" t="s">
        <v>227</v>
      </c>
      <c r="H43" s="673"/>
      <c r="I43" s="674"/>
      <c r="J43" s="674"/>
      <c r="K43" s="675"/>
    </row>
    <row r="44" spans="7:13" x14ac:dyDescent="0.25">
      <c r="G44" s="289" t="s">
        <v>458</v>
      </c>
      <c r="H44" s="413">
        <v>22756824</v>
      </c>
      <c r="I44" s="413">
        <v>26303673</v>
      </c>
      <c r="J44" s="511">
        <f>+IF(COUNT(H44:I44),SUM(H44:I44),"")</f>
        <v>49060497</v>
      </c>
      <c r="K44" s="413">
        <v>0</v>
      </c>
    </row>
    <row r="45" spans="7:13" x14ac:dyDescent="0.25">
      <c r="G45" s="290" t="s">
        <v>459</v>
      </c>
      <c r="H45" s="413">
        <v>237027</v>
      </c>
      <c r="I45" s="413">
        <v>8132779</v>
      </c>
      <c r="J45" s="511">
        <f>+IF(COUNT(H45:I45),SUM(H45:I45),"")</f>
        <v>8369806</v>
      </c>
      <c r="K45" s="413">
        <v>0</v>
      </c>
    </row>
    <row r="46" spans="7:13" x14ac:dyDescent="0.25">
      <c r="G46" s="290" t="s">
        <v>460</v>
      </c>
      <c r="H46" s="413">
        <v>4203341</v>
      </c>
      <c r="I46" s="413">
        <v>2467964</v>
      </c>
      <c r="J46" s="511">
        <f>+IF(COUNT(H46:I46),SUM(H46:I46),"")</f>
        <v>6671305</v>
      </c>
      <c r="K46" s="413">
        <v>0</v>
      </c>
    </row>
    <row r="47" spans="7:13" x14ac:dyDescent="0.25">
      <c r="G47" s="290" t="s">
        <v>461</v>
      </c>
      <c r="H47" s="413">
        <v>1628288</v>
      </c>
      <c r="I47" s="413">
        <v>32545</v>
      </c>
      <c r="J47" s="511">
        <f>+IF(COUNT(H47:I47),SUM(H47:I47),"")</f>
        <v>1660833</v>
      </c>
      <c r="K47" s="413">
        <v>0</v>
      </c>
    </row>
    <row r="48" spans="7:13" x14ac:dyDescent="0.25">
      <c r="G48" s="291" t="s">
        <v>275</v>
      </c>
      <c r="H48" s="413">
        <v>9294660</v>
      </c>
      <c r="I48" s="413">
        <v>1879790</v>
      </c>
      <c r="J48" s="511">
        <f>+IF(COUNT(H48:I48),SUM(H48:I48),"")</f>
        <v>11174450</v>
      </c>
      <c r="K48" s="413">
        <v>0</v>
      </c>
    </row>
    <row r="49" spans="7:13" ht="20.100000000000001" customHeight="1" x14ac:dyDescent="0.25">
      <c r="G49" s="2" t="s">
        <v>462</v>
      </c>
      <c r="H49" s="670"/>
      <c r="I49" s="671"/>
      <c r="J49" s="671"/>
      <c r="K49" s="672"/>
    </row>
    <row r="50" spans="7:13" ht="20.100000000000001" customHeight="1" x14ac:dyDescent="0.25">
      <c r="G50" s="10" t="s">
        <v>226</v>
      </c>
      <c r="H50" s="673"/>
      <c r="I50" s="674"/>
      <c r="J50" s="674"/>
      <c r="K50" s="675"/>
    </row>
    <row r="51" spans="7:13" x14ac:dyDescent="0.25">
      <c r="G51" s="298" t="s">
        <v>225</v>
      </c>
      <c r="H51" s="413">
        <v>18749088</v>
      </c>
      <c r="I51" s="413">
        <v>11845823</v>
      </c>
      <c r="J51" s="511">
        <f t="shared" ref="J51:J58" si="1">+IF(COUNT(H51:I51),SUM(H51:I51),"")</f>
        <v>30594911</v>
      </c>
      <c r="K51" s="413">
        <v>0</v>
      </c>
    </row>
    <row r="52" spans="7:13" x14ac:dyDescent="0.25">
      <c r="G52" s="299" t="s">
        <v>224</v>
      </c>
      <c r="H52" s="413">
        <v>195980771</v>
      </c>
      <c r="I52" s="413">
        <v>463867763</v>
      </c>
      <c r="J52" s="511">
        <f t="shared" si="1"/>
        <v>659848534</v>
      </c>
      <c r="K52" s="413">
        <v>0</v>
      </c>
      <c r="L52" s="375"/>
      <c r="M52" s="206"/>
    </row>
    <row r="53" spans="7:13" x14ac:dyDescent="0.25">
      <c r="G53" s="299" t="s">
        <v>223</v>
      </c>
      <c r="H53" s="413">
        <v>72872846</v>
      </c>
      <c r="I53" s="413">
        <v>17830386</v>
      </c>
      <c r="J53" s="511">
        <f t="shared" si="1"/>
        <v>90703232</v>
      </c>
      <c r="K53" s="413">
        <v>0</v>
      </c>
    </row>
    <row r="54" spans="7:13" x14ac:dyDescent="0.25">
      <c r="G54" s="300" t="s">
        <v>299</v>
      </c>
      <c r="H54" s="413">
        <v>63654929</v>
      </c>
      <c r="I54" s="413">
        <v>17104073</v>
      </c>
      <c r="J54" s="511">
        <f t="shared" si="1"/>
        <v>80759002</v>
      </c>
      <c r="K54" s="413">
        <v>0</v>
      </c>
    </row>
    <row r="55" spans="7:13" ht="20.100000000000001" customHeight="1" x14ac:dyDescent="0.25">
      <c r="G55" s="190" t="s">
        <v>222</v>
      </c>
      <c r="H55" s="110">
        <f>IF(COUNT(H51:H54),SUM(H51:H54),"")</f>
        <v>351257634</v>
      </c>
      <c r="I55" s="110">
        <f>IF(COUNT(I51:I54),SUM(I51:I54),"")</f>
        <v>510648045</v>
      </c>
      <c r="J55" s="110">
        <f t="shared" si="1"/>
        <v>861905679</v>
      </c>
      <c r="K55" s="110">
        <f>IF(COUNT(K51:K54),SUM(K51:K54),"")</f>
        <v>0</v>
      </c>
    </row>
    <row r="56" spans="7:13" ht="20.100000000000001" customHeight="1" x14ac:dyDescent="0.25">
      <c r="G56" s="209" t="s">
        <v>221</v>
      </c>
      <c r="H56" s="210">
        <f>IF(COUNT(H44:H48,H55),SUM(H44:H48)+SUM(H55),"")</f>
        <v>389377774</v>
      </c>
      <c r="I56" s="210">
        <f>IF(COUNT(I44:I48,I55),SUM(I44:I48)+SUM(I55),"")</f>
        <v>549464796</v>
      </c>
      <c r="J56" s="210">
        <f t="shared" si="1"/>
        <v>938842570</v>
      </c>
      <c r="K56" s="210">
        <f>IF(COUNT(K44:K48,K55),SUM(K44:K48)+SUM(K55),"")</f>
        <v>0</v>
      </c>
    </row>
    <row r="57" spans="7:13" ht="20.100000000000001" customHeight="1" x14ac:dyDescent="0.25">
      <c r="G57" s="2" t="s">
        <v>220</v>
      </c>
      <c r="H57" s="670"/>
      <c r="I57" s="671"/>
      <c r="J57" s="671"/>
      <c r="K57" s="672"/>
    </row>
    <row r="58" spans="7:13" x14ac:dyDescent="0.25">
      <c r="G58" s="301" t="s">
        <v>463</v>
      </c>
      <c r="H58" s="413">
        <v>8710961</v>
      </c>
      <c r="I58" s="413">
        <v>2309186</v>
      </c>
      <c r="J58" s="511">
        <f t="shared" si="1"/>
        <v>11020147</v>
      </c>
      <c r="K58" s="413">
        <v>0</v>
      </c>
    </row>
    <row r="59" spans="7:13" ht="20.100000000000001" customHeight="1" x14ac:dyDescent="0.25">
      <c r="G59" s="190" t="s">
        <v>219</v>
      </c>
      <c r="H59" s="110">
        <f>IF(COUNT(H58),SUM(H58),"")</f>
        <v>8710961</v>
      </c>
      <c r="I59" s="110">
        <f>IF(COUNT(I58),SUM(I58),"")</f>
        <v>2309186</v>
      </c>
      <c r="J59" s="110">
        <f>IF(COUNT(J58),SUM(J58),"")</f>
        <v>11020147</v>
      </c>
      <c r="K59" s="110">
        <f>IF(COUNT(K58),SUM(K58),"")</f>
        <v>0</v>
      </c>
    </row>
    <row r="60" spans="7:13" ht="20.100000000000001" customHeight="1" x14ac:dyDescent="0.25">
      <c r="G60" s="2" t="s">
        <v>218</v>
      </c>
      <c r="H60" s="673"/>
      <c r="I60" s="674"/>
      <c r="J60" s="674"/>
      <c r="K60" s="675"/>
    </row>
    <row r="61" spans="7:13" x14ac:dyDescent="0.25">
      <c r="G61" s="302" t="s">
        <v>217</v>
      </c>
      <c r="H61" s="413">
        <v>338458935</v>
      </c>
      <c r="I61" s="413">
        <v>504565046</v>
      </c>
      <c r="J61" s="511">
        <f>+IF(COUNT(H61:I61),SUM(H61:I61),"")</f>
        <v>843023981</v>
      </c>
      <c r="K61" s="413">
        <v>0</v>
      </c>
    </row>
    <row r="62" spans="7:13" ht="20.100000000000001" customHeight="1" x14ac:dyDescent="0.25">
      <c r="G62" s="2" t="s">
        <v>216</v>
      </c>
      <c r="H62" s="673"/>
      <c r="I62" s="674"/>
      <c r="J62" s="674"/>
      <c r="K62" s="675"/>
    </row>
    <row r="63" spans="7:13" ht="20.100000000000001" customHeight="1" x14ac:dyDescent="0.25">
      <c r="G63" s="10" t="s">
        <v>464</v>
      </c>
      <c r="H63" s="673"/>
      <c r="I63" s="674"/>
      <c r="J63" s="674"/>
      <c r="K63" s="675"/>
    </row>
    <row r="64" spans="7:13" x14ac:dyDescent="0.25">
      <c r="G64" s="303" t="s">
        <v>465</v>
      </c>
      <c r="H64" s="413">
        <v>13861538</v>
      </c>
      <c r="I64" s="413">
        <v>0</v>
      </c>
      <c r="J64" s="511">
        <f t="shared" ref="J64:J70" si="2">+IF(COUNT(H64:I64),SUM(H64:I64),"")</f>
        <v>13861538</v>
      </c>
      <c r="K64" s="413">
        <v>0</v>
      </c>
    </row>
    <row r="65" spans="7:11" x14ac:dyDescent="0.25">
      <c r="G65" s="303" t="s">
        <v>466</v>
      </c>
      <c r="H65" s="413">
        <v>1251540</v>
      </c>
      <c r="I65" s="413">
        <v>0</v>
      </c>
      <c r="J65" s="511">
        <f t="shared" si="2"/>
        <v>1251540</v>
      </c>
      <c r="K65" s="413">
        <v>0</v>
      </c>
    </row>
    <row r="66" spans="7:11" x14ac:dyDescent="0.25">
      <c r="G66" s="303" t="s">
        <v>467</v>
      </c>
      <c r="H66" s="413">
        <v>3885095</v>
      </c>
      <c r="I66" s="413">
        <v>0</v>
      </c>
      <c r="J66" s="511">
        <f t="shared" si="2"/>
        <v>3885095</v>
      </c>
      <c r="K66" s="413">
        <v>0</v>
      </c>
    </row>
    <row r="67" spans="7:11" x14ac:dyDescent="0.25">
      <c r="G67" s="304" t="s">
        <v>190</v>
      </c>
      <c r="H67" s="415">
        <v>9401821</v>
      </c>
      <c r="I67" s="415">
        <v>14750889</v>
      </c>
      <c r="J67" s="208">
        <f t="shared" si="2"/>
        <v>24152710</v>
      </c>
      <c r="K67" s="415">
        <v>0</v>
      </c>
    </row>
    <row r="68" spans="7:11" ht="20.100000000000001" customHeight="1" x14ac:dyDescent="0.25">
      <c r="G68" s="207" t="s">
        <v>468</v>
      </c>
      <c r="H68" s="110">
        <f>IF(COUNT(H64:H67),SUM(H64:H67),"")</f>
        <v>28399994</v>
      </c>
      <c r="I68" s="110">
        <f>IF(COUNT(I64:I67),SUM(I64:I67),"")</f>
        <v>14750889</v>
      </c>
      <c r="J68" s="110">
        <f>IF(COUNT(J64:J67),SUM(J64:J67),"")</f>
        <v>43150883</v>
      </c>
      <c r="K68" s="419">
        <f>IF(COUNT(K64:K67),SUM(K64:K67),"")</f>
        <v>0</v>
      </c>
    </row>
    <row r="69" spans="7:11" ht="20.100000000000001" customHeight="1" x14ac:dyDescent="0.25">
      <c r="G69" s="10" t="s">
        <v>469</v>
      </c>
      <c r="H69" s="673"/>
      <c r="I69" s="674"/>
      <c r="J69" s="674"/>
      <c r="K69" s="675"/>
    </row>
    <row r="70" spans="7:11" x14ac:dyDescent="0.25">
      <c r="G70" s="304" t="s">
        <v>471</v>
      </c>
      <c r="H70" s="415">
        <v>430455</v>
      </c>
      <c r="I70" s="415">
        <v>0</v>
      </c>
      <c r="J70" s="208">
        <f t="shared" si="2"/>
        <v>430455</v>
      </c>
      <c r="K70" s="420">
        <v>0</v>
      </c>
    </row>
    <row r="71" spans="7:11" ht="20.100000000000001" customHeight="1" x14ac:dyDescent="0.25">
      <c r="G71" s="207" t="s">
        <v>472</v>
      </c>
      <c r="H71" s="110">
        <f>IF(COUNT(H69:H70),SUM(H69:H70),"")</f>
        <v>430455</v>
      </c>
      <c r="I71" s="110">
        <f>IF(COUNT(I69:I70),SUM(I69:I70),"")</f>
        <v>0</v>
      </c>
      <c r="J71" s="110">
        <f>IF(COUNT(J69:J70),SUM(J69:J70),"")</f>
        <v>430455</v>
      </c>
      <c r="K71" s="110">
        <f>IF(COUNT(K69:K70),SUM(K69:K70),"")</f>
        <v>0</v>
      </c>
    </row>
    <row r="72" spans="7:11" ht="20.100000000000001" customHeight="1" x14ac:dyDescent="0.25">
      <c r="G72" s="209" t="s">
        <v>212</v>
      </c>
      <c r="H72" s="110">
        <f>IF(COUNT(H68,H71),SUM(H68,H71),"")</f>
        <v>28830449</v>
      </c>
      <c r="I72" s="110">
        <f>IF(COUNT(I68,I71),SUM(I68,I71),"")</f>
        <v>14750889</v>
      </c>
      <c r="J72" s="110">
        <f>IF(COUNT(J68,J71),SUM(J68,J71),"")</f>
        <v>43581338</v>
      </c>
      <c r="K72" s="110">
        <f>IF(COUNT(K68,K71),SUM(K68,K71),"")</f>
        <v>0</v>
      </c>
    </row>
    <row r="73" spans="7:11" x14ac:dyDescent="0.25">
      <c r="G73" s="382" t="s">
        <v>211</v>
      </c>
      <c r="H73" s="421">
        <v>193210387</v>
      </c>
      <c r="I73" s="421">
        <v>142683420</v>
      </c>
      <c r="J73" s="211">
        <f>+IF(COUNT(H73:I73),SUM(H73:I73),"")</f>
        <v>335893807</v>
      </c>
      <c r="K73" s="422">
        <v>70516</v>
      </c>
    </row>
    <row r="74" spans="7:11" ht="20.100000000000001" customHeight="1" x14ac:dyDescent="0.25">
      <c r="G74" s="46" t="s">
        <v>210</v>
      </c>
      <c r="H74" s="197">
        <f>IF(COUNT(H73,H72,H61),SUM(H72:H73,H61),"")</f>
        <v>560499771</v>
      </c>
      <c r="I74" s="197">
        <f>IF(COUNT(I73,I72,I61),SUM(I72:I73,I61),"")</f>
        <v>661999355</v>
      </c>
      <c r="J74" s="197">
        <f>IF(COUNT(J73,J72,J61),SUM(J72:J73,J61),"")</f>
        <v>1222499126</v>
      </c>
      <c r="K74" s="197">
        <f>IF(COUNT(K73,K72,K61),SUM(K72:K73,K61),"")</f>
        <v>70516</v>
      </c>
    </row>
    <row r="75" spans="7:11" x14ac:dyDescent="0.25"/>
    <row r="76" spans="7:11" hidden="1" x14ac:dyDescent="0.25">
      <c r="H76" s="258"/>
    </row>
    <row r="77" spans="7:11" hidden="1" x14ac:dyDescent="0.25">
      <c r="H77" s="258"/>
    </row>
    <row r="78" spans="7:11" hidden="1" x14ac:dyDescent="0.25">
      <c r="H78" s="258"/>
    </row>
    <row r="79" spans="7:11" hidden="1" x14ac:dyDescent="0.25">
      <c r="H79" s="258"/>
    </row>
  </sheetData>
  <sheetProtection algorithmName="SHA-512" hashValue="AsdQpcg/Z19YQTXJfxZKgkzccY3HC2FJ9eQ12HCuG/3gURUra3tCwsAbT27vTOT1P1sFdtGcB//N14lXrLazeQ==" saltValue="R5TiKpCF468RI9vmI1PMIw==" spinCount="100000" sheet="1" objects="1" scenarios="1"/>
  <mergeCells count="17">
    <mergeCell ref="G10:J10"/>
    <mergeCell ref="K10:K11"/>
    <mergeCell ref="H28:K28"/>
    <mergeCell ref="H62:K62"/>
    <mergeCell ref="H49:K49"/>
    <mergeCell ref="H32:K32"/>
    <mergeCell ref="H39:K39"/>
    <mergeCell ref="H43:K43"/>
    <mergeCell ref="G11:G12"/>
    <mergeCell ref="H11:J11"/>
    <mergeCell ref="H13:K13"/>
    <mergeCell ref="H50:K50"/>
    <mergeCell ref="H57:K57"/>
    <mergeCell ref="H23:K23"/>
    <mergeCell ref="H69:K69"/>
    <mergeCell ref="H63:K63"/>
    <mergeCell ref="H60:K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E1:P81"/>
  <sheetViews>
    <sheetView showGridLines="0" topLeftCell="F9" zoomScale="80" zoomScaleNormal="80" workbookViewId="0">
      <selection activeCell="F9" sqref="F9"/>
    </sheetView>
  </sheetViews>
  <sheetFormatPr defaultColWidth="0" defaultRowHeight="15" zeroHeight="1" x14ac:dyDescent="0.25"/>
  <cols>
    <col min="1" max="4" width="9.140625" hidden="1" customWidth="1"/>
    <col min="5" max="5" width="1.7109375" hidden="1" customWidth="1"/>
    <col min="6" max="6" width="2.7109375" customWidth="1"/>
    <col min="7" max="7" width="42.140625" customWidth="1"/>
    <col min="8" max="8" width="14.140625" customWidth="1"/>
    <col min="9" max="9" width="21.5703125" customWidth="1"/>
    <col min="10" max="10" width="22.7109375" customWidth="1"/>
    <col min="11" max="11" width="35.5703125" bestFit="1" customWidth="1"/>
    <col min="12" max="12" width="19.140625" customWidth="1"/>
    <col min="13" max="13" width="19.42578125" bestFit="1" customWidth="1"/>
    <col min="14" max="14" width="26" customWidth="1"/>
    <col min="15" max="15" width="21.7109375" customWidth="1"/>
    <col min="16" max="16" width="2.7109375" customWidth="1"/>
    <col min="17" max="16384" width="9.140625" hidden="1"/>
  </cols>
  <sheetData>
    <row r="1" spans="7:15" hidden="1" x14ac:dyDescent="0.25"/>
    <row r="2" spans="7:15" hidden="1" x14ac:dyDescent="0.25"/>
    <row r="3" spans="7:15" hidden="1" x14ac:dyDescent="0.25"/>
    <row r="4" spans="7:15" hidden="1" x14ac:dyDescent="0.25"/>
    <row r="5" spans="7:15" hidden="1" x14ac:dyDescent="0.25"/>
    <row r="6" spans="7:15" hidden="1" x14ac:dyDescent="0.25"/>
    <row r="7" spans="7:15" hidden="1" x14ac:dyDescent="0.25"/>
    <row r="8" spans="7:15" hidden="1" x14ac:dyDescent="0.25"/>
    <row r="9" spans="7:15" ht="39.950000000000003" customHeight="1" x14ac:dyDescent="0.25"/>
    <row r="10" spans="7:15" ht="24.95" customHeight="1" x14ac:dyDescent="0.25">
      <c r="G10" s="676" t="s">
        <v>268</v>
      </c>
      <c r="H10" s="677"/>
      <c r="I10" s="677"/>
      <c r="J10" s="677"/>
      <c r="K10" s="677"/>
      <c r="L10" s="677"/>
      <c r="M10" s="677"/>
      <c r="N10" s="678"/>
      <c r="O10" s="679" t="s">
        <v>346</v>
      </c>
    </row>
    <row r="11" spans="7:15" ht="24" customHeight="1" x14ac:dyDescent="0.25">
      <c r="G11" s="682" t="s">
        <v>267</v>
      </c>
      <c r="H11" s="684" t="s">
        <v>266</v>
      </c>
      <c r="I11" s="685"/>
      <c r="J11" s="685"/>
      <c r="K11" s="685"/>
      <c r="L11" s="684" t="s">
        <v>265</v>
      </c>
      <c r="M11" s="685"/>
      <c r="N11" s="686"/>
      <c r="O11" s="680"/>
    </row>
    <row r="12" spans="7:15" ht="45" x14ac:dyDescent="0.25">
      <c r="G12" s="683"/>
      <c r="H12" s="119" t="s">
        <v>264</v>
      </c>
      <c r="I12" s="119" t="s">
        <v>263</v>
      </c>
      <c r="J12" s="119" t="s">
        <v>262</v>
      </c>
      <c r="K12" s="119" t="s">
        <v>261</v>
      </c>
      <c r="L12" s="119" t="s">
        <v>64</v>
      </c>
      <c r="M12" s="119" t="s">
        <v>237</v>
      </c>
      <c r="N12" s="385" t="s">
        <v>686</v>
      </c>
      <c r="O12" s="189" t="s">
        <v>437</v>
      </c>
    </row>
    <row r="13" spans="7:15" ht="20.100000000000001" customHeight="1" x14ac:dyDescent="0.25">
      <c r="G13" s="10" t="s">
        <v>260</v>
      </c>
      <c r="H13" s="670"/>
      <c r="I13" s="671"/>
      <c r="J13" s="671"/>
      <c r="K13" s="671"/>
      <c r="L13" s="671"/>
      <c r="M13" s="671"/>
      <c r="N13" s="672"/>
      <c r="O13" s="199"/>
    </row>
    <row r="14" spans="7:15" x14ac:dyDescent="0.25">
      <c r="G14" s="137" t="s">
        <v>259</v>
      </c>
      <c r="H14" s="124">
        <v>41180855</v>
      </c>
      <c r="I14" s="124">
        <v>26180815</v>
      </c>
      <c r="J14" s="123">
        <v>322586</v>
      </c>
      <c r="K14" s="123">
        <v>4300000</v>
      </c>
      <c r="L14" s="133">
        <f t="shared" ref="L14:L21" si="0">IF(COUNT(H14:K14),SUM(I14:K14)-SUM(H14),"")</f>
        <v>-10377454</v>
      </c>
      <c r="M14" s="690"/>
      <c r="N14" s="133">
        <f t="shared" ref="N14:N21" si="1">IF(COUNT(L14),SUM(L14),"")</f>
        <v>-10377454</v>
      </c>
      <c r="O14" s="386">
        <v>0</v>
      </c>
    </row>
    <row r="15" spans="7:15" x14ac:dyDescent="0.25">
      <c r="G15" s="115" t="s">
        <v>370</v>
      </c>
      <c r="H15" s="123">
        <v>20530929</v>
      </c>
      <c r="I15" s="123">
        <v>10890299</v>
      </c>
      <c r="J15" s="123">
        <v>520926</v>
      </c>
      <c r="K15" s="123">
        <v>1899249</v>
      </c>
      <c r="L15" s="128">
        <f t="shared" si="0"/>
        <v>-7220455</v>
      </c>
      <c r="M15" s="690"/>
      <c r="N15" s="128">
        <f t="shared" si="1"/>
        <v>-7220455</v>
      </c>
      <c r="O15" s="220">
        <v>0</v>
      </c>
    </row>
    <row r="16" spans="7:15" x14ac:dyDescent="0.25">
      <c r="G16" s="115" t="s">
        <v>37</v>
      </c>
      <c r="H16" s="123">
        <v>114930124</v>
      </c>
      <c r="I16" s="123">
        <v>4931788</v>
      </c>
      <c r="J16" s="123">
        <v>267026</v>
      </c>
      <c r="K16" s="123">
        <v>0</v>
      </c>
      <c r="L16" s="128">
        <f t="shared" si="0"/>
        <v>-109731310</v>
      </c>
      <c r="M16" s="690"/>
      <c r="N16" s="128">
        <f t="shared" si="1"/>
        <v>-109731310</v>
      </c>
      <c r="O16" s="220">
        <v>0</v>
      </c>
    </row>
    <row r="17" spans="7:15" x14ac:dyDescent="0.25">
      <c r="G17" s="115" t="s">
        <v>38</v>
      </c>
      <c r="H17" s="123">
        <v>43254689</v>
      </c>
      <c r="I17" s="123">
        <v>13365978</v>
      </c>
      <c r="J17" s="123">
        <v>514351</v>
      </c>
      <c r="K17" s="123">
        <v>0</v>
      </c>
      <c r="L17" s="128">
        <f t="shared" si="0"/>
        <v>-29374360</v>
      </c>
      <c r="M17" s="690"/>
      <c r="N17" s="128">
        <f t="shared" si="1"/>
        <v>-29374360</v>
      </c>
      <c r="O17" s="220">
        <v>0</v>
      </c>
    </row>
    <row r="18" spans="7:15" x14ac:dyDescent="0.25">
      <c r="G18" s="115" t="s">
        <v>474</v>
      </c>
      <c r="H18" s="123">
        <v>31828229</v>
      </c>
      <c r="I18" s="123">
        <v>1086202</v>
      </c>
      <c r="J18" s="123">
        <v>1286426</v>
      </c>
      <c r="K18" s="123">
        <v>218629</v>
      </c>
      <c r="L18" s="128">
        <f t="shared" si="0"/>
        <v>-29236972</v>
      </c>
      <c r="M18" s="690"/>
      <c r="N18" s="128">
        <f t="shared" si="1"/>
        <v>-29236972</v>
      </c>
      <c r="O18" s="220">
        <v>0</v>
      </c>
    </row>
    <row r="19" spans="7:15" x14ac:dyDescent="0.25">
      <c r="G19" s="115" t="s">
        <v>371</v>
      </c>
      <c r="H19" s="123">
        <v>54966996</v>
      </c>
      <c r="I19" s="123">
        <v>6426171</v>
      </c>
      <c r="J19" s="123">
        <v>7606224</v>
      </c>
      <c r="K19" s="123">
        <v>53704</v>
      </c>
      <c r="L19" s="128">
        <f t="shared" si="0"/>
        <v>-40880897</v>
      </c>
      <c r="M19" s="690"/>
      <c r="N19" s="128">
        <f t="shared" si="1"/>
        <v>-40880897</v>
      </c>
      <c r="O19" s="220">
        <v>0</v>
      </c>
    </row>
    <row r="20" spans="7:15" x14ac:dyDescent="0.25">
      <c r="G20" s="115" t="s">
        <v>475</v>
      </c>
      <c r="H20" s="123">
        <v>2501068</v>
      </c>
      <c r="I20" s="123">
        <v>0</v>
      </c>
      <c r="J20" s="123">
        <v>0</v>
      </c>
      <c r="K20" s="123">
        <v>0</v>
      </c>
      <c r="L20" s="128">
        <f t="shared" si="0"/>
        <v>-2501068</v>
      </c>
      <c r="M20" s="690"/>
      <c r="N20" s="128">
        <f t="shared" si="1"/>
        <v>-2501068</v>
      </c>
      <c r="O20" s="220">
        <v>0</v>
      </c>
    </row>
    <row r="21" spans="7:15" hidden="1" x14ac:dyDescent="0.25">
      <c r="G21" s="136"/>
      <c r="H21" s="123"/>
      <c r="I21" s="123"/>
      <c r="J21" s="123"/>
      <c r="K21" s="123"/>
      <c r="L21" s="135" t="str">
        <f t="shared" si="0"/>
        <v/>
      </c>
      <c r="M21" s="690"/>
      <c r="N21" s="135" t="str">
        <f t="shared" si="1"/>
        <v/>
      </c>
      <c r="O21" s="218" t="s">
        <v>440</v>
      </c>
    </row>
    <row r="22" spans="7:15" ht="20.100000000000001" customHeight="1" x14ac:dyDescent="0.25">
      <c r="G22" s="377" t="s">
        <v>258</v>
      </c>
      <c r="H22" s="126">
        <f>IF(COUNT(H14:H21),SUM(H14:H21),"")</f>
        <v>309192890</v>
      </c>
      <c r="I22" s="126">
        <f>IF(COUNT(I14:I21),SUM(I14:I21),"")</f>
        <v>62881253</v>
      </c>
      <c r="J22" s="126">
        <f>IF(COUNT(J14:J21),SUM(J14:J21),"")</f>
        <v>10517539</v>
      </c>
      <c r="K22" s="126">
        <f>IF(COUNT(K14:K21),SUM(K14:K21),"")</f>
        <v>6471582</v>
      </c>
      <c r="L22" s="126">
        <f>IF(COUNT(L14:L21),SUM(L14:L21),"")</f>
        <v>-229322516</v>
      </c>
      <c r="M22" s="691"/>
      <c r="N22" s="126">
        <f>IF(COUNT(N14:N21),SUM(N14:N21),"")</f>
        <v>-229322516</v>
      </c>
      <c r="O22" s="126">
        <f>IF(COUNT(O14:O21),SUM(O14:O21),"")</f>
        <v>0</v>
      </c>
    </row>
    <row r="23" spans="7:15" ht="20.100000000000001" customHeight="1" x14ac:dyDescent="0.25">
      <c r="G23" s="10" t="s">
        <v>237</v>
      </c>
      <c r="H23" s="687"/>
      <c r="I23" s="688"/>
      <c r="J23" s="688"/>
      <c r="K23" s="688"/>
      <c r="L23" s="688"/>
      <c r="M23" s="688"/>
      <c r="N23" s="689"/>
      <c r="O23" s="199"/>
    </row>
    <row r="24" spans="7:15" x14ac:dyDescent="0.25">
      <c r="G24" s="116" t="s">
        <v>257</v>
      </c>
      <c r="H24" s="124">
        <v>115296480</v>
      </c>
      <c r="I24" s="124">
        <v>122493193</v>
      </c>
      <c r="J24" s="124">
        <v>2761167</v>
      </c>
      <c r="K24" s="124">
        <v>0</v>
      </c>
      <c r="L24" s="134"/>
      <c r="M24" s="133">
        <f t="shared" ref="M24:M37" si="2">+IF(COUNT(H24:K24),SUM(I24:K24)-SUM(H24),"")</f>
        <v>9957880</v>
      </c>
      <c r="N24" s="133">
        <f t="shared" ref="N24:N37" si="3">IF(COUNT(M24),SUM(M24),"")</f>
        <v>9957880</v>
      </c>
      <c r="O24" s="386">
        <v>0</v>
      </c>
    </row>
    <row r="25" spans="7:15" x14ac:dyDescent="0.25">
      <c r="G25" s="132" t="s">
        <v>256</v>
      </c>
      <c r="H25" s="131">
        <v>15786948</v>
      </c>
      <c r="I25" s="131">
        <v>15654513</v>
      </c>
      <c r="J25" s="131">
        <v>85968</v>
      </c>
      <c r="K25" s="131">
        <v>1017448</v>
      </c>
      <c r="L25" s="129"/>
      <c r="M25" s="130">
        <f t="shared" si="2"/>
        <v>970981</v>
      </c>
      <c r="N25" s="130">
        <f t="shared" si="3"/>
        <v>970981</v>
      </c>
      <c r="O25" s="387">
        <v>0</v>
      </c>
    </row>
    <row r="26" spans="7:15" x14ac:dyDescent="0.25">
      <c r="G26" s="132" t="s">
        <v>255</v>
      </c>
      <c r="H26" s="131">
        <v>41660758</v>
      </c>
      <c r="I26" s="131">
        <v>43760762</v>
      </c>
      <c r="J26" s="131">
        <v>350954</v>
      </c>
      <c r="K26" s="131">
        <v>104966</v>
      </c>
      <c r="L26" s="129"/>
      <c r="M26" s="130">
        <f t="shared" si="2"/>
        <v>2555924</v>
      </c>
      <c r="N26" s="130">
        <f t="shared" si="3"/>
        <v>2555924</v>
      </c>
      <c r="O26" s="387">
        <v>0</v>
      </c>
    </row>
    <row r="27" spans="7:15" x14ac:dyDescent="0.25">
      <c r="G27" s="132" t="s">
        <v>254</v>
      </c>
      <c r="H27" s="131">
        <v>6277185</v>
      </c>
      <c r="I27" s="131">
        <v>1359840</v>
      </c>
      <c r="J27" s="131">
        <v>0</v>
      </c>
      <c r="K27" s="131">
        <v>0</v>
      </c>
      <c r="L27" s="129"/>
      <c r="M27" s="130">
        <f t="shared" si="2"/>
        <v>-4917345</v>
      </c>
      <c r="N27" s="130">
        <f t="shared" si="3"/>
        <v>-4917345</v>
      </c>
      <c r="O27" s="387">
        <v>0</v>
      </c>
    </row>
    <row r="28" spans="7:15" x14ac:dyDescent="0.25">
      <c r="G28" s="132" t="s">
        <v>253</v>
      </c>
      <c r="H28" s="131">
        <v>1546366</v>
      </c>
      <c r="I28" s="131">
        <v>1137980</v>
      </c>
      <c r="J28" s="131">
        <v>0</v>
      </c>
      <c r="K28" s="131">
        <v>379166</v>
      </c>
      <c r="L28" s="129"/>
      <c r="M28" s="130">
        <f t="shared" si="2"/>
        <v>-29220</v>
      </c>
      <c r="N28" s="130">
        <f t="shared" si="3"/>
        <v>-29220</v>
      </c>
      <c r="O28" s="387">
        <v>0</v>
      </c>
    </row>
    <row r="29" spans="7:15" x14ac:dyDescent="0.25">
      <c r="G29" s="132" t="s">
        <v>252</v>
      </c>
      <c r="H29" s="131">
        <v>1026277</v>
      </c>
      <c r="I29" s="131">
        <v>88260</v>
      </c>
      <c r="J29" s="131">
        <v>0</v>
      </c>
      <c r="K29" s="131">
        <v>61434</v>
      </c>
      <c r="L29" s="129"/>
      <c r="M29" s="130">
        <f t="shared" si="2"/>
        <v>-876583</v>
      </c>
      <c r="N29" s="130">
        <f t="shared" si="3"/>
        <v>-876583</v>
      </c>
      <c r="O29" s="387">
        <v>0</v>
      </c>
    </row>
    <row r="30" spans="7:15" x14ac:dyDescent="0.25">
      <c r="G30" s="132" t="s">
        <v>251</v>
      </c>
      <c r="H30" s="131">
        <v>3512662</v>
      </c>
      <c r="I30" s="131">
        <v>3783870</v>
      </c>
      <c r="J30" s="131">
        <v>864</v>
      </c>
      <c r="K30" s="131">
        <v>0</v>
      </c>
      <c r="L30" s="129"/>
      <c r="M30" s="130">
        <f t="shared" si="2"/>
        <v>272072</v>
      </c>
      <c r="N30" s="130">
        <f t="shared" si="3"/>
        <v>272072</v>
      </c>
      <c r="O30" s="387">
        <v>0</v>
      </c>
    </row>
    <row r="31" spans="7:15" x14ac:dyDescent="0.25">
      <c r="G31" s="132" t="s">
        <v>250</v>
      </c>
      <c r="H31" s="131">
        <v>3777731</v>
      </c>
      <c r="I31" s="131">
        <v>2852478</v>
      </c>
      <c r="J31" s="131">
        <v>15678</v>
      </c>
      <c r="K31" s="131">
        <v>0</v>
      </c>
      <c r="L31" s="129"/>
      <c r="M31" s="130">
        <f t="shared" si="2"/>
        <v>-909575</v>
      </c>
      <c r="N31" s="130">
        <f t="shared" si="3"/>
        <v>-909575</v>
      </c>
      <c r="O31" s="387">
        <v>0</v>
      </c>
    </row>
    <row r="32" spans="7:15" x14ac:dyDescent="0.25">
      <c r="G32" s="132" t="s">
        <v>249</v>
      </c>
      <c r="H32" s="131">
        <v>1143617</v>
      </c>
      <c r="I32" s="131">
        <v>583266</v>
      </c>
      <c r="J32" s="131">
        <v>0</v>
      </c>
      <c r="K32" s="131">
        <v>0</v>
      </c>
      <c r="L32" s="129"/>
      <c r="M32" s="130">
        <f t="shared" si="2"/>
        <v>-560351</v>
      </c>
      <c r="N32" s="130">
        <f t="shared" si="3"/>
        <v>-560351</v>
      </c>
      <c r="O32" s="387">
        <v>0</v>
      </c>
    </row>
    <row r="33" spans="7:15" x14ac:dyDescent="0.25">
      <c r="G33" s="132" t="s">
        <v>248</v>
      </c>
      <c r="H33" s="131">
        <v>6056754</v>
      </c>
      <c r="I33" s="131">
        <v>7637068</v>
      </c>
      <c r="J33" s="131">
        <v>0</v>
      </c>
      <c r="K33" s="131">
        <v>0</v>
      </c>
      <c r="L33" s="129"/>
      <c r="M33" s="130">
        <f t="shared" si="2"/>
        <v>1580314</v>
      </c>
      <c r="N33" s="130">
        <f t="shared" si="3"/>
        <v>1580314</v>
      </c>
      <c r="O33" s="387">
        <v>0</v>
      </c>
    </row>
    <row r="34" spans="7:15" x14ac:dyDescent="0.25">
      <c r="G34" s="132" t="s">
        <v>247</v>
      </c>
      <c r="H34" s="131">
        <v>2448161</v>
      </c>
      <c r="I34" s="131">
        <v>146434</v>
      </c>
      <c r="J34" s="131">
        <v>314004</v>
      </c>
      <c r="K34" s="131">
        <v>0</v>
      </c>
      <c r="L34" s="129"/>
      <c r="M34" s="130">
        <f t="shared" si="2"/>
        <v>-1987723</v>
      </c>
      <c r="N34" s="130">
        <f t="shared" si="3"/>
        <v>-1987723</v>
      </c>
      <c r="O34" s="387">
        <v>0</v>
      </c>
    </row>
    <row r="35" spans="7:15" x14ac:dyDescent="0.25">
      <c r="G35" s="132" t="s">
        <v>246</v>
      </c>
      <c r="H35" s="131">
        <v>22944</v>
      </c>
      <c r="I35" s="131">
        <v>0</v>
      </c>
      <c r="J35" s="131">
        <v>0</v>
      </c>
      <c r="K35" s="131">
        <v>0</v>
      </c>
      <c r="L35" s="129"/>
      <c r="M35" s="130">
        <f t="shared" si="2"/>
        <v>-22944</v>
      </c>
      <c r="N35" s="130">
        <f t="shared" si="3"/>
        <v>-22944</v>
      </c>
      <c r="O35" s="387">
        <v>0</v>
      </c>
    </row>
    <row r="36" spans="7:15" x14ac:dyDescent="0.25">
      <c r="G36" s="132" t="s">
        <v>245</v>
      </c>
      <c r="H36" s="131">
        <v>868837</v>
      </c>
      <c r="I36" s="131">
        <v>659576</v>
      </c>
      <c r="J36" s="131">
        <v>0</v>
      </c>
      <c r="K36" s="131">
        <v>0</v>
      </c>
      <c r="L36" s="129"/>
      <c r="M36" s="130">
        <f t="shared" si="2"/>
        <v>-209261</v>
      </c>
      <c r="N36" s="130">
        <f t="shared" si="3"/>
        <v>-209261</v>
      </c>
      <c r="O36" s="387">
        <v>0</v>
      </c>
    </row>
    <row r="37" spans="7:15" x14ac:dyDescent="0.25">
      <c r="G37" s="115" t="s">
        <v>244</v>
      </c>
      <c r="H37" s="123">
        <v>1543866</v>
      </c>
      <c r="I37" s="123">
        <v>1354252</v>
      </c>
      <c r="J37" s="123">
        <v>1143</v>
      </c>
      <c r="K37" s="123">
        <v>0</v>
      </c>
      <c r="L37" s="129"/>
      <c r="M37" s="128">
        <f t="shared" si="2"/>
        <v>-188471</v>
      </c>
      <c r="N37" s="128">
        <f t="shared" si="3"/>
        <v>-188471</v>
      </c>
      <c r="O37" s="220">
        <v>0</v>
      </c>
    </row>
    <row r="38" spans="7:15" ht="20.100000000000001" customHeight="1" x14ac:dyDescent="0.25">
      <c r="G38" s="378" t="s">
        <v>243</v>
      </c>
      <c r="H38" s="126">
        <f>IF(COUNT(H24:H37),SUM(H24:H37),"")</f>
        <v>200968586</v>
      </c>
      <c r="I38" s="126">
        <f>IF(COUNT(I24:I37),SUM(I24:I37),"")</f>
        <v>201511492</v>
      </c>
      <c r="J38" s="126">
        <f>IF(COUNT(J24:J37),SUM(J24:J37),"")</f>
        <v>3529778</v>
      </c>
      <c r="K38" s="126">
        <f>IF(COUNT(K24:K37),SUM(K24:K37),"")</f>
        <v>1563014</v>
      </c>
      <c r="L38" s="127"/>
      <c r="M38" s="126">
        <f>IF(COUNT(M24:M37),SUM(M24:M37),"")</f>
        <v>5635698</v>
      </c>
      <c r="N38" s="126">
        <f>IF(COUNT(N24:N37),SUM(N24:N37),"")</f>
        <v>5635698</v>
      </c>
      <c r="O38" s="126">
        <f>IF(COUNT(O24:O37),SUM(O24:O37),"")</f>
        <v>0</v>
      </c>
    </row>
    <row r="39" spans="7:15" ht="20.100000000000001" customHeight="1" x14ac:dyDescent="0.25">
      <c r="G39" s="377" t="s">
        <v>242</v>
      </c>
      <c r="H39" s="126">
        <f>IF(COUNT(H22,H38),SUM(H22,H38),"")</f>
        <v>510161476</v>
      </c>
      <c r="I39" s="126">
        <f>IF(COUNT(I22,I38),SUM(I22,I38),"")</f>
        <v>264392745</v>
      </c>
      <c r="J39" s="126">
        <f>IF(COUNT(J22,J38),SUM(J22,J38),"")</f>
        <v>14047317</v>
      </c>
      <c r="K39" s="126">
        <f>IF(COUNT(K22,K38),SUM(K22,K38),"")</f>
        <v>8034596</v>
      </c>
      <c r="L39" s="126">
        <f>IF(COUNT(L22),SUM(L22),"")</f>
        <v>-229322516</v>
      </c>
      <c r="M39" s="126">
        <f>IF(COUNT(M38),SUM(M38),"")</f>
        <v>5635698</v>
      </c>
      <c r="N39" s="126">
        <f>IF(COUNT(N22,N38),SUM(N22,N38),"")</f>
        <v>-223686818</v>
      </c>
      <c r="O39" s="126">
        <f>IF(COUNT(O22,O38),SUM(O22,O38),"")</f>
        <v>0</v>
      </c>
    </row>
    <row r="40" spans="7:15" ht="20.100000000000001" customHeight="1" x14ac:dyDescent="0.25">
      <c r="G40" s="10" t="s">
        <v>437</v>
      </c>
      <c r="H40" s="670"/>
      <c r="I40" s="671"/>
      <c r="J40" s="671"/>
      <c r="K40" s="671"/>
      <c r="L40" s="671"/>
      <c r="M40" s="671"/>
      <c r="N40" s="671"/>
      <c r="O40" s="672"/>
    </row>
    <row r="41" spans="7:15" ht="20.100000000000001" customHeight="1" x14ac:dyDescent="0.25">
      <c r="G41" s="214" t="s">
        <v>476</v>
      </c>
      <c r="H41" s="215">
        <v>733</v>
      </c>
      <c r="I41" s="215">
        <v>0</v>
      </c>
      <c r="J41" s="215">
        <v>0</v>
      </c>
      <c r="K41" s="216">
        <v>0</v>
      </c>
      <c r="L41" s="391"/>
      <c r="M41" s="392"/>
      <c r="N41" s="393"/>
      <c r="O41" s="217">
        <f>+IF(COUNT(H41:K41),SUM(I41:K41)-SUM(H41),"")</f>
        <v>-733</v>
      </c>
    </row>
    <row r="42" spans="7:15" ht="20.100000000000001" customHeight="1" x14ac:dyDescent="0.25">
      <c r="G42" s="376" t="s">
        <v>477</v>
      </c>
      <c r="H42" s="126">
        <f>SUM(H41)</f>
        <v>733</v>
      </c>
      <c r="I42" s="126">
        <f>SUM(I41)</f>
        <v>0</v>
      </c>
      <c r="J42" s="126">
        <f>SUM(J41)</f>
        <v>0</v>
      </c>
      <c r="K42" s="126">
        <f>SUM(K41)</f>
        <v>0</v>
      </c>
      <c r="L42" s="394"/>
      <c r="M42" s="395"/>
      <c r="N42" s="396"/>
      <c r="O42" s="126">
        <f>SUM(O41)</f>
        <v>-733</v>
      </c>
    </row>
    <row r="43" spans="7:15" ht="20.100000000000001" customHeight="1" x14ac:dyDescent="0.25">
      <c r="K43" s="380" t="s">
        <v>241</v>
      </c>
      <c r="L43" s="286"/>
      <c r="M43" s="287"/>
      <c r="N43" s="287"/>
      <c r="O43" s="288"/>
    </row>
    <row r="44" spans="7:15" ht="20.100000000000001" hidden="1" customHeight="1" x14ac:dyDescent="0.25">
      <c r="K44" s="125"/>
      <c r="L44" s="674"/>
      <c r="M44" s="674"/>
      <c r="N44" s="674"/>
      <c r="O44" s="675"/>
    </row>
    <row r="45" spans="7:15" ht="20.100000000000001" hidden="1" customHeight="1" x14ac:dyDescent="0.25">
      <c r="K45" s="166"/>
      <c r="L45" s="219"/>
      <c r="M45" s="220"/>
      <c r="N45" s="221"/>
      <c r="O45" s="177"/>
    </row>
    <row r="46" spans="7:15" ht="20.100000000000001" hidden="1" customHeight="1" x14ac:dyDescent="0.25">
      <c r="K46" s="166"/>
      <c r="L46" s="219"/>
      <c r="M46" s="220"/>
      <c r="N46" s="221"/>
      <c r="O46" s="177"/>
    </row>
    <row r="47" spans="7:15" ht="20.100000000000001" hidden="1" customHeight="1" x14ac:dyDescent="0.25">
      <c r="K47" s="166"/>
      <c r="L47" s="219"/>
      <c r="M47" s="220"/>
      <c r="N47" s="221"/>
      <c r="O47" s="177"/>
    </row>
    <row r="48" spans="7:15" ht="20.100000000000001" hidden="1" customHeight="1" x14ac:dyDescent="0.25">
      <c r="K48" s="166"/>
      <c r="L48" s="219"/>
      <c r="M48" s="220"/>
      <c r="N48" s="221"/>
      <c r="O48" s="177"/>
    </row>
    <row r="49" spans="11:15" ht="20.100000000000001" hidden="1" customHeight="1" x14ac:dyDescent="0.25">
      <c r="K49" s="200"/>
      <c r="L49" s="195"/>
      <c r="M49" s="200"/>
      <c r="N49" s="200"/>
      <c r="O49" s="200"/>
    </row>
    <row r="50" spans="11:15" ht="20.100000000000001" hidden="1" customHeight="1" x14ac:dyDescent="0.25">
      <c r="K50" s="125"/>
      <c r="L50" s="195"/>
      <c r="M50" s="200"/>
      <c r="N50" s="200"/>
      <c r="O50" s="200"/>
    </row>
    <row r="51" spans="11:15" ht="20.100000000000001" customHeight="1" x14ac:dyDescent="0.25">
      <c r="K51" s="379" t="s">
        <v>7</v>
      </c>
      <c r="L51" s="674"/>
      <c r="M51" s="674"/>
      <c r="N51" s="674"/>
      <c r="O51" s="675"/>
    </row>
    <row r="52" spans="11:15" x14ac:dyDescent="0.25">
      <c r="K52" s="166" t="s">
        <v>478</v>
      </c>
      <c r="L52" s="219">
        <v>104481680</v>
      </c>
      <c r="M52" s="220">
        <v>0</v>
      </c>
      <c r="N52" s="221">
        <v>104481680</v>
      </c>
      <c r="O52" s="388">
        <v>0</v>
      </c>
    </row>
    <row r="53" spans="11:15" x14ac:dyDescent="0.25">
      <c r="K53" s="166" t="s">
        <v>8</v>
      </c>
      <c r="L53" s="219">
        <v>27645800</v>
      </c>
      <c r="M53" s="220">
        <v>0</v>
      </c>
      <c r="N53" s="221">
        <v>27645800</v>
      </c>
      <c r="O53" s="389">
        <v>0</v>
      </c>
    </row>
    <row r="54" spans="11:15" x14ac:dyDescent="0.25">
      <c r="K54" s="166" t="s">
        <v>479</v>
      </c>
      <c r="L54" s="219">
        <v>2500872</v>
      </c>
      <c r="M54" s="220">
        <v>0</v>
      </c>
      <c r="N54" s="221">
        <v>2500872</v>
      </c>
      <c r="O54" s="389">
        <v>0</v>
      </c>
    </row>
    <row r="55" spans="11:15" x14ac:dyDescent="0.25">
      <c r="K55" s="166" t="s">
        <v>480</v>
      </c>
      <c r="L55" s="219">
        <v>18852631</v>
      </c>
      <c r="M55" s="220">
        <v>0</v>
      </c>
      <c r="N55" s="221">
        <v>18852631</v>
      </c>
      <c r="O55" s="390">
        <v>0</v>
      </c>
    </row>
    <row r="56" spans="11:15" ht="20.100000000000001" customHeight="1" x14ac:dyDescent="0.25">
      <c r="K56" s="200" t="s">
        <v>481</v>
      </c>
      <c r="L56" s="223">
        <f>IF(COUNT(L52:L55),SUM(L52:L55),"")</f>
        <v>153480983</v>
      </c>
      <c r="M56" s="223">
        <f>IF(COUNT(M52:M55),SUM(M52:M55),"")</f>
        <v>0</v>
      </c>
      <c r="N56" s="223">
        <f>IF(COUNT(N52:N55),SUM(N52:N55),"")</f>
        <v>153480983</v>
      </c>
      <c r="O56" s="223">
        <f>IF(COUNT(O52:O55),SUM(O52:O55),"")</f>
        <v>0</v>
      </c>
    </row>
    <row r="57" spans="11:15" ht="20.100000000000001" customHeight="1" x14ac:dyDescent="0.25">
      <c r="K57" s="381" t="s">
        <v>233</v>
      </c>
      <c r="L57" s="286"/>
      <c r="M57" s="287"/>
      <c r="N57" s="287"/>
      <c r="O57" s="288"/>
    </row>
    <row r="58" spans="11:15" x14ac:dyDescent="0.25">
      <c r="K58" s="166" t="s">
        <v>482</v>
      </c>
      <c r="L58" s="219">
        <v>9620042</v>
      </c>
      <c r="M58" s="220">
        <v>0</v>
      </c>
      <c r="N58" s="221">
        <v>9620042</v>
      </c>
      <c r="O58" s="388">
        <v>0</v>
      </c>
    </row>
    <row r="59" spans="11:15" x14ac:dyDescent="0.25">
      <c r="K59" s="166" t="s">
        <v>483</v>
      </c>
      <c r="L59" s="219">
        <v>18172690</v>
      </c>
      <c r="M59" s="220">
        <v>0</v>
      </c>
      <c r="N59" s="221">
        <v>18172690</v>
      </c>
      <c r="O59" s="389">
        <v>0</v>
      </c>
    </row>
    <row r="60" spans="11:15" x14ac:dyDescent="0.25">
      <c r="K60" s="166" t="s">
        <v>484</v>
      </c>
      <c r="L60" s="219">
        <v>25257535</v>
      </c>
      <c r="M60" s="220">
        <v>0</v>
      </c>
      <c r="N60" s="221">
        <v>25257535</v>
      </c>
      <c r="O60" s="389">
        <v>0</v>
      </c>
    </row>
    <row r="61" spans="11:15" ht="30" x14ac:dyDescent="0.25">
      <c r="K61" s="222" t="s">
        <v>485</v>
      </c>
      <c r="L61" s="219">
        <v>9661911</v>
      </c>
      <c r="M61" s="220">
        <v>0</v>
      </c>
      <c r="N61" s="221">
        <v>9661911</v>
      </c>
      <c r="O61" s="389">
        <v>0</v>
      </c>
    </row>
    <row r="62" spans="11:15" x14ac:dyDescent="0.25">
      <c r="K62" s="166" t="s">
        <v>486</v>
      </c>
      <c r="L62" s="219">
        <v>3544665</v>
      </c>
      <c r="M62" s="220">
        <v>0</v>
      </c>
      <c r="N62" s="221">
        <v>3544665</v>
      </c>
      <c r="O62" s="389">
        <v>0</v>
      </c>
    </row>
    <row r="63" spans="11:15" x14ac:dyDescent="0.25">
      <c r="K63" s="166" t="s">
        <v>487</v>
      </c>
      <c r="L63" s="219">
        <v>6223820</v>
      </c>
      <c r="M63" s="220">
        <v>0</v>
      </c>
      <c r="N63" s="221">
        <v>6223820</v>
      </c>
      <c r="O63" s="389">
        <v>0</v>
      </c>
    </row>
    <row r="64" spans="11:15" x14ac:dyDescent="0.25">
      <c r="K64" s="166" t="s">
        <v>488</v>
      </c>
      <c r="L64" s="219">
        <v>734050</v>
      </c>
      <c r="M64" s="220">
        <v>0</v>
      </c>
      <c r="N64" s="221">
        <v>734050</v>
      </c>
      <c r="O64" s="390">
        <v>0</v>
      </c>
    </row>
    <row r="65" spans="11:15" ht="20.100000000000001" customHeight="1" x14ac:dyDescent="0.25">
      <c r="K65" s="200" t="s">
        <v>489</v>
      </c>
      <c r="L65" s="223">
        <f>IF(COUNT(L58:L64),SUM(L58:L64),"")</f>
        <v>73214713</v>
      </c>
      <c r="M65" s="223">
        <f>IF(COUNT(M58:M64),SUM(M58:M64),"")</f>
        <v>0</v>
      </c>
      <c r="N65" s="223">
        <f>IF(COUNT(N58:N64),SUM(N58:N64),"")</f>
        <v>73214713</v>
      </c>
      <c r="O65" s="223">
        <f>IF(COUNT(O58:O64),SUM(O58:O64),"")</f>
        <v>0</v>
      </c>
    </row>
    <row r="66" spans="11:15" x14ac:dyDescent="0.25">
      <c r="K66" s="228" t="s">
        <v>490</v>
      </c>
      <c r="L66" s="229">
        <v>5603689</v>
      </c>
      <c r="M66" s="229">
        <v>6423501</v>
      </c>
      <c r="N66" s="230">
        <v>12027190</v>
      </c>
      <c r="O66" s="388">
        <v>392</v>
      </c>
    </row>
    <row r="67" spans="11:15" x14ac:dyDescent="0.25">
      <c r="K67" s="231" t="s">
        <v>491</v>
      </c>
      <c r="L67" s="232">
        <v>854912</v>
      </c>
      <c r="M67" s="232">
        <v>202994</v>
      </c>
      <c r="N67" s="233">
        <v>1057906</v>
      </c>
      <c r="O67" s="389">
        <v>0</v>
      </c>
    </row>
    <row r="68" spans="11:15" x14ac:dyDescent="0.25">
      <c r="K68" s="231" t="s">
        <v>316</v>
      </c>
      <c r="L68" s="232">
        <v>942413</v>
      </c>
      <c r="M68" s="232">
        <v>506680</v>
      </c>
      <c r="N68" s="233">
        <v>1449093</v>
      </c>
      <c r="O68" s="389">
        <v>0</v>
      </c>
    </row>
    <row r="69" spans="11:15" x14ac:dyDescent="0.25">
      <c r="K69" s="234" t="s">
        <v>240</v>
      </c>
      <c r="L69" s="235">
        <v>-3428315</v>
      </c>
      <c r="M69" s="235">
        <v>3428315</v>
      </c>
      <c r="N69" s="236">
        <v>0</v>
      </c>
      <c r="O69" s="390">
        <v>0</v>
      </c>
    </row>
    <row r="70" spans="11:15" ht="20.100000000000001" customHeight="1" x14ac:dyDescent="0.25">
      <c r="K70" s="120" t="s">
        <v>492</v>
      </c>
      <c r="L70" s="223">
        <f>IF(COUNT(L56,L65,L66:L69),SUM(L56,L65,L66:L69),"")</f>
        <v>230668395</v>
      </c>
      <c r="M70" s="223">
        <f>IF(COUNT(M56,M65,M66:M69),SUM(M56,M65,M66:M69),"")</f>
        <v>10561490</v>
      </c>
      <c r="N70" s="223">
        <f>IF(COUNT(N56,N65,N66:N69),SUM(N56,N65,N66:N69),"")</f>
        <v>241229885</v>
      </c>
      <c r="O70" s="223">
        <f>IF(COUNT(O56,O65,O66:O69),SUM(O56,O65,O66:O69),"")</f>
        <v>392</v>
      </c>
    </row>
    <row r="71" spans="11:15" ht="20.100000000000001" customHeight="1" x14ac:dyDescent="0.25">
      <c r="K71" s="120" t="s">
        <v>493</v>
      </c>
      <c r="L71" s="223">
        <f>IF(COUNT(L70,L39),SUM(L39,L70),"")</f>
        <v>1345879</v>
      </c>
      <c r="M71" s="223">
        <f>IF(COUNT(M70,M39),SUM(M39,M70),"")</f>
        <v>16197188</v>
      </c>
      <c r="N71" s="223">
        <f>IF(COUNT(N70,N39),SUM(N39,N70),"")</f>
        <v>17543067</v>
      </c>
      <c r="O71" s="139">
        <f>IF(COUNT(O42,O70),SUM(O42,O70),"")</f>
        <v>-341</v>
      </c>
    </row>
    <row r="72" spans="11:15" ht="15" customHeight="1" x14ac:dyDescent="0.25">
      <c r="K72" s="227" t="s">
        <v>494</v>
      </c>
      <c r="L72" s="423">
        <v>559153892</v>
      </c>
      <c r="M72" s="424">
        <v>645802167</v>
      </c>
      <c r="N72" s="237">
        <v>1204956059</v>
      </c>
      <c r="O72" s="424">
        <v>70857</v>
      </c>
    </row>
    <row r="73" spans="11:15" ht="20.100000000000001" customHeight="1" x14ac:dyDescent="0.25">
      <c r="K73" s="120" t="s">
        <v>495</v>
      </c>
      <c r="L73" s="223">
        <f>IF(COUNT(L71:L72),SUM(L71:L72),"")</f>
        <v>560499771</v>
      </c>
      <c r="M73" s="223">
        <f>IF(COUNT(M71:M72),SUM(M71:M72),"")</f>
        <v>661999355</v>
      </c>
      <c r="N73" s="223">
        <f>IF(COUNT(N71:N72),SUM(N71:N72),"")</f>
        <v>1222499126</v>
      </c>
      <c r="O73" s="223">
        <f>IF(COUNT(O71:O72),SUM(O71:O72),"")</f>
        <v>70516</v>
      </c>
    </row>
    <row r="74" spans="11:15" x14ac:dyDescent="0.25">
      <c r="K74" s="224"/>
      <c r="L74" s="226"/>
      <c r="M74" s="225"/>
      <c r="N74" s="225"/>
      <c r="O74" s="225"/>
    </row>
    <row r="75" spans="11:15" hidden="1" x14ac:dyDescent="0.25">
      <c r="K75" s="224"/>
      <c r="L75" s="226"/>
      <c r="M75" s="225"/>
      <c r="N75" s="225"/>
      <c r="O75" s="225"/>
    </row>
    <row r="76" spans="11:15" hidden="1" x14ac:dyDescent="0.25">
      <c r="K76" s="224"/>
      <c r="L76" s="226"/>
      <c r="M76" s="225"/>
      <c r="N76" s="225"/>
      <c r="O76" s="225"/>
    </row>
    <row r="77" spans="11:15" hidden="1" x14ac:dyDescent="0.25">
      <c r="K77" s="224"/>
      <c r="L77" s="226"/>
      <c r="M77" s="225"/>
      <c r="N77" s="225"/>
      <c r="O77" s="225"/>
    </row>
    <row r="78" spans="11:15" hidden="1" x14ac:dyDescent="0.25">
      <c r="K78" s="224"/>
      <c r="L78" s="226"/>
      <c r="M78" s="225"/>
      <c r="N78" s="225"/>
      <c r="O78" s="225"/>
    </row>
    <row r="79" spans="11:15" hidden="1" x14ac:dyDescent="0.25">
      <c r="K79" s="224"/>
      <c r="L79" s="226"/>
      <c r="M79" s="225"/>
      <c r="N79" s="225"/>
      <c r="O79" s="225"/>
    </row>
    <row r="80" spans="11:15" hidden="1" x14ac:dyDescent="0.25"/>
    <row r="81" hidden="1" x14ac:dyDescent="0.25"/>
  </sheetData>
  <sheetProtection algorithmName="SHA-512" hashValue="5xR2e+dGO8frts7G1kwe0SN9hDTnDMzQDqoWHqqH04Ajjzks/jOHpMSDKVRIr5JJQnuFTnMx0QIfDJh11leuJg==" saltValue="vNEDDdvVVvNSOrTQRBiT1Q==" spinCount="100000" sheet="1" objects="1" scenarios="1"/>
  <mergeCells count="11">
    <mergeCell ref="L44:O44"/>
    <mergeCell ref="L51:O51"/>
    <mergeCell ref="G11:G12"/>
    <mergeCell ref="H11:K11"/>
    <mergeCell ref="L11:N11"/>
    <mergeCell ref="H23:N23"/>
    <mergeCell ref="H13:N13"/>
    <mergeCell ref="M14:M22"/>
    <mergeCell ref="H40:O40"/>
    <mergeCell ref="O10:O11"/>
    <mergeCell ref="G10:N10"/>
  </mergeCells>
  <dataValidations count="1">
    <dataValidation type="whole" allowBlank="1" showInputMessage="1" showErrorMessage="1" sqref="M65 L41 O38 H14:H42 I14:N39 K51 K57:K64 I41:K42 L58:L64 M58:N64" xr:uid="{00000000-0002-0000-0300-000000000000}">
      <formula1>-1.11111111111111E+29</formula1>
      <formula2>1.11111111111111E+35</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outlinePr summaryRight="0"/>
  </sheetPr>
  <dimension ref="E1:T61"/>
  <sheetViews>
    <sheetView showGridLines="0" topLeftCell="F9" zoomScale="70" zoomScaleNormal="70" workbookViewId="0">
      <selection activeCell="F9" sqref="F9"/>
    </sheetView>
  </sheetViews>
  <sheetFormatPr defaultColWidth="0" defaultRowHeight="15" zeroHeight="1" x14ac:dyDescent="0.25"/>
  <cols>
    <col min="1" max="4" width="9.140625" hidden="1" customWidth="1"/>
    <col min="5" max="5" width="2.7109375" hidden="1" customWidth="1"/>
    <col min="6" max="6" width="2.7109375" customWidth="1"/>
    <col min="7" max="7" width="35" style="27" customWidth="1"/>
    <col min="8" max="17" width="20.7109375" style="138" customWidth="1"/>
    <col min="18" max="18" width="20.7109375" style="138" hidden="1" customWidth="1"/>
    <col min="19" max="19" width="19" style="138" bestFit="1" customWidth="1"/>
    <col min="20" max="20" width="2.7109375" customWidth="1"/>
    <col min="21" max="16384" width="9.140625" hidden="1"/>
  </cols>
  <sheetData>
    <row r="1" spans="7:19" ht="39.75" hidden="1" customHeight="1" x14ac:dyDescent="0.25">
      <c r="H1" s="27"/>
      <c r="I1" s="27"/>
      <c r="J1" s="27"/>
      <c r="K1" s="27" t="s">
        <v>473</v>
      </c>
      <c r="L1" s="27"/>
      <c r="M1" s="27"/>
      <c r="N1" s="27"/>
      <c r="O1" s="27"/>
      <c r="P1" s="27"/>
      <c r="Q1" s="27"/>
      <c r="R1" s="27"/>
      <c r="S1" s="27"/>
    </row>
    <row r="2" spans="7:19" ht="33" hidden="1" customHeight="1" x14ac:dyDescent="0.25">
      <c r="H2" s="27"/>
      <c r="I2" s="27"/>
      <c r="J2" s="27"/>
      <c r="K2" s="27"/>
      <c r="L2" s="27"/>
      <c r="M2" s="27"/>
      <c r="N2" s="27"/>
      <c r="O2" s="27"/>
      <c r="P2" s="27"/>
      <c r="Q2" s="27"/>
      <c r="R2" s="27"/>
      <c r="S2" s="27"/>
    </row>
    <row r="3" spans="7:19" hidden="1" x14ac:dyDescent="0.25">
      <c r="H3" s="27"/>
      <c r="I3" s="27"/>
      <c r="J3" s="27"/>
      <c r="K3" s="27"/>
      <c r="L3" s="27"/>
      <c r="M3" s="27"/>
      <c r="N3" s="27"/>
      <c r="O3" s="27"/>
      <c r="P3" s="27"/>
      <c r="Q3" s="27"/>
      <c r="R3" s="27"/>
      <c r="S3" s="27"/>
    </row>
    <row r="4" spans="7:19" hidden="1" x14ac:dyDescent="0.25">
      <c r="H4" s="27"/>
      <c r="I4" s="27"/>
      <c r="J4" s="27"/>
      <c r="K4" s="27"/>
      <c r="L4" s="27"/>
      <c r="M4" s="27"/>
      <c r="N4" s="27"/>
      <c r="O4" s="27"/>
      <c r="P4" s="27"/>
      <c r="Q4" s="27"/>
      <c r="R4" s="27"/>
      <c r="S4" s="27"/>
    </row>
    <row r="5" spans="7:19" hidden="1" x14ac:dyDescent="0.25">
      <c r="H5" s="27"/>
      <c r="I5" s="27"/>
      <c r="J5" s="27"/>
      <c r="K5" s="27"/>
      <c r="L5" s="27"/>
      <c r="M5" s="27"/>
      <c r="N5" s="27"/>
      <c r="O5" s="27"/>
      <c r="P5" s="27"/>
      <c r="Q5" s="27"/>
      <c r="R5" s="27"/>
      <c r="S5" s="27"/>
    </row>
    <row r="6" spans="7:19" hidden="1" x14ac:dyDescent="0.25">
      <c r="H6" s="27"/>
      <c r="I6" s="27"/>
      <c r="J6" s="27"/>
      <c r="K6" s="27"/>
      <c r="L6" s="27"/>
      <c r="M6" s="27"/>
      <c r="N6" s="27"/>
      <c r="O6" s="27"/>
      <c r="P6" s="27"/>
      <c r="Q6" s="27"/>
      <c r="R6" s="27"/>
      <c r="S6" s="27"/>
    </row>
    <row r="7" spans="7:19" hidden="1" x14ac:dyDescent="0.25">
      <c r="H7" s="27"/>
      <c r="I7" s="27"/>
      <c r="J7" s="27"/>
      <c r="K7" s="27"/>
      <c r="L7" s="27"/>
      <c r="M7" s="27"/>
      <c r="N7" s="27"/>
      <c r="O7" s="27"/>
      <c r="P7" s="27"/>
      <c r="Q7" s="27"/>
      <c r="R7" s="27"/>
      <c r="S7" s="27"/>
    </row>
    <row r="8" spans="7:19" hidden="1" x14ac:dyDescent="0.25">
      <c r="H8" s="27"/>
      <c r="I8" s="27"/>
      <c r="J8" s="27"/>
      <c r="K8" s="27"/>
      <c r="L8" s="27"/>
      <c r="M8" s="27"/>
      <c r="N8" s="27"/>
      <c r="O8" s="27"/>
      <c r="P8" s="27"/>
      <c r="Q8" s="27"/>
      <c r="R8" s="27"/>
      <c r="S8" s="27"/>
    </row>
    <row r="9" spans="7:19" ht="39.950000000000003" customHeight="1" x14ac:dyDescent="0.25">
      <c r="H9" s="27"/>
      <c r="I9" s="27"/>
      <c r="J9" s="27"/>
      <c r="K9" s="27"/>
      <c r="L9" s="27"/>
      <c r="M9" s="27"/>
      <c r="N9" s="27"/>
      <c r="O9" s="27"/>
      <c r="P9" s="27"/>
      <c r="Q9" s="27"/>
      <c r="R9" s="27"/>
      <c r="S9" s="27"/>
    </row>
    <row r="10" spans="7:19" ht="24.95" customHeight="1" x14ac:dyDescent="0.25">
      <c r="G10" s="676" t="s">
        <v>283</v>
      </c>
      <c r="H10" s="677"/>
      <c r="I10" s="677"/>
      <c r="J10" s="677"/>
      <c r="K10" s="677"/>
      <c r="L10" s="677"/>
      <c r="M10" s="677"/>
      <c r="N10" s="677"/>
      <c r="O10" s="677"/>
      <c r="P10" s="677"/>
      <c r="Q10" s="677"/>
      <c r="R10" s="678"/>
      <c r="S10" s="238" t="s">
        <v>346</v>
      </c>
    </row>
    <row r="11" spans="7:19" ht="44.25" customHeight="1" x14ac:dyDescent="0.25">
      <c r="G11" s="191" t="s">
        <v>1</v>
      </c>
      <c r="H11" s="148" t="s">
        <v>282</v>
      </c>
      <c r="I11" s="150" t="s">
        <v>59</v>
      </c>
      <c r="J11" s="150" t="s">
        <v>62</v>
      </c>
      <c r="K11" s="148" t="s">
        <v>728</v>
      </c>
      <c r="L11" s="239" t="s">
        <v>496</v>
      </c>
      <c r="M11" s="150" t="s">
        <v>213</v>
      </c>
      <c r="N11" s="150" t="s">
        <v>281</v>
      </c>
      <c r="O11" s="149"/>
      <c r="P11" s="149"/>
      <c r="Q11" s="149"/>
      <c r="R11" s="149"/>
      <c r="S11" s="148" t="s">
        <v>280</v>
      </c>
    </row>
    <row r="12" spans="7:19" ht="20.100000000000001" customHeight="1" x14ac:dyDescent="0.25">
      <c r="G12" s="2" t="s">
        <v>235</v>
      </c>
      <c r="H12" s="670"/>
      <c r="I12" s="671"/>
      <c r="J12" s="671"/>
      <c r="K12" s="671"/>
      <c r="L12" s="671"/>
      <c r="M12" s="671"/>
      <c r="N12" s="671"/>
      <c r="O12" s="671"/>
      <c r="P12" s="671"/>
      <c r="Q12" s="671"/>
      <c r="R12" s="671"/>
      <c r="S12" s="672"/>
    </row>
    <row r="13" spans="7:19" x14ac:dyDescent="0.25">
      <c r="G13" s="118" t="s">
        <v>862</v>
      </c>
      <c r="H13" s="143">
        <v>12428566</v>
      </c>
      <c r="I13" s="124">
        <v>757362</v>
      </c>
      <c r="J13" s="124">
        <v>1286680</v>
      </c>
      <c r="K13" s="124">
        <v>19862583</v>
      </c>
      <c r="L13" s="124">
        <v>9044008</v>
      </c>
      <c r="M13" s="124">
        <v>694960</v>
      </c>
      <c r="N13" s="124">
        <v>9873281</v>
      </c>
      <c r="O13" s="124"/>
      <c r="P13" s="124"/>
      <c r="Q13" s="124"/>
      <c r="R13" s="124"/>
      <c r="S13" s="142">
        <f>IF(COUNT(H13:R13),SUM(H13:R13),"")</f>
        <v>53947440</v>
      </c>
    </row>
    <row r="14" spans="7:19" x14ac:dyDescent="0.25">
      <c r="G14" s="240" t="s">
        <v>863</v>
      </c>
      <c r="H14" s="241">
        <v>42430813</v>
      </c>
      <c r="I14" s="131">
        <v>4071106</v>
      </c>
      <c r="J14" s="131">
        <v>21068646</v>
      </c>
      <c r="K14" s="131">
        <v>46153719</v>
      </c>
      <c r="L14" s="131">
        <v>0</v>
      </c>
      <c r="M14" s="131">
        <v>845222</v>
      </c>
      <c r="N14" s="131">
        <v>45970467</v>
      </c>
      <c r="O14" s="131"/>
      <c r="P14" s="131"/>
      <c r="Q14" s="131"/>
      <c r="R14" s="131"/>
      <c r="S14" s="146">
        <f t="shared" ref="S14:S34" si="0">IF(COUNT(H14:R14),SUM(H14:R14),"")</f>
        <v>160539973</v>
      </c>
    </row>
    <row r="15" spans="7:19" x14ac:dyDescent="0.25">
      <c r="G15" s="240" t="s">
        <v>497</v>
      </c>
      <c r="H15" s="241">
        <v>0</v>
      </c>
      <c r="I15" s="131">
        <v>0</v>
      </c>
      <c r="J15" s="131">
        <v>0</v>
      </c>
      <c r="K15" s="131">
        <v>0</v>
      </c>
      <c r="L15" s="131">
        <v>71273724</v>
      </c>
      <c r="M15" s="131">
        <v>0</v>
      </c>
      <c r="N15" s="131">
        <v>9401821</v>
      </c>
      <c r="O15" s="131"/>
      <c r="P15" s="131"/>
      <c r="Q15" s="131"/>
      <c r="R15" s="131"/>
      <c r="S15" s="146">
        <f t="shared" si="0"/>
        <v>80675545</v>
      </c>
    </row>
    <row r="16" spans="7:19" x14ac:dyDescent="0.25">
      <c r="G16" s="117" t="s">
        <v>498</v>
      </c>
      <c r="H16" s="123">
        <v>0</v>
      </c>
      <c r="I16" s="123">
        <v>0</v>
      </c>
      <c r="J16" s="123">
        <v>0</v>
      </c>
      <c r="K16" s="123">
        <v>0</v>
      </c>
      <c r="L16" s="123">
        <v>28958128</v>
      </c>
      <c r="M16" s="123">
        <v>0</v>
      </c>
      <c r="N16" s="123">
        <v>0</v>
      </c>
      <c r="O16" s="123"/>
      <c r="P16" s="123"/>
      <c r="Q16" s="123"/>
      <c r="R16" s="123"/>
      <c r="S16" s="122">
        <f t="shared" si="0"/>
        <v>28958128</v>
      </c>
    </row>
    <row r="17" spans="7:19" ht="20.100000000000001" customHeight="1" x14ac:dyDescent="0.25">
      <c r="G17" s="10" t="s">
        <v>234</v>
      </c>
      <c r="H17" s="673"/>
      <c r="I17" s="674"/>
      <c r="J17" s="674"/>
      <c r="K17" s="674"/>
      <c r="L17" s="674"/>
      <c r="M17" s="674"/>
      <c r="N17" s="674"/>
      <c r="O17" s="674"/>
      <c r="P17" s="674"/>
      <c r="Q17" s="674"/>
      <c r="R17" s="674"/>
      <c r="S17" s="675"/>
    </row>
    <row r="18" spans="7:19" x14ac:dyDescent="0.25">
      <c r="G18" s="114" t="s">
        <v>499</v>
      </c>
      <c r="H18" s="124">
        <v>1276013</v>
      </c>
      <c r="I18" s="124">
        <v>0</v>
      </c>
      <c r="J18" s="124">
        <v>0</v>
      </c>
      <c r="K18" s="124">
        <v>23541</v>
      </c>
      <c r="L18" s="124">
        <v>0</v>
      </c>
      <c r="M18" s="124">
        <v>403359</v>
      </c>
      <c r="N18" s="124">
        <v>346601</v>
      </c>
      <c r="O18" s="124"/>
      <c r="P18" s="124"/>
      <c r="Q18" s="124"/>
      <c r="R18" s="124"/>
      <c r="S18" s="142">
        <f t="shared" si="0"/>
        <v>2049514</v>
      </c>
    </row>
    <row r="19" spans="7:19" x14ac:dyDescent="0.25">
      <c r="G19" s="113" t="s">
        <v>909</v>
      </c>
      <c r="H19" s="123">
        <v>4578680</v>
      </c>
      <c r="I19" s="123">
        <v>0</v>
      </c>
      <c r="J19" s="123">
        <v>0</v>
      </c>
      <c r="K19" s="123">
        <v>0</v>
      </c>
      <c r="L19" s="123">
        <v>0</v>
      </c>
      <c r="M19" s="123">
        <v>0</v>
      </c>
      <c r="N19" s="123">
        <v>0</v>
      </c>
      <c r="O19" s="123"/>
      <c r="P19" s="123"/>
      <c r="Q19" s="123"/>
      <c r="R19" s="123"/>
      <c r="S19" s="122">
        <f t="shared" si="0"/>
        <v>4578680</v>
      </c>
    </row>
    <row r="20" spans="7:19" x14ac:dyDescent="0.25">
      <c r="G20" s="113" t="s">
        <v>500</v>
      </c>
      <c r="H20" s="123">
        <v>0</v>
      </c>
      <c r="I20" s="123">
        <v>0</v>
      </c>
      <c r="J20" s="123">
        <v>0</v>
      </c>
      <c r="K20" s="123">
        <v>0</v>
      </c>
      <c r="L20" s="123">
        <v>198824</v>
      </c>
      <c r="M20" s="123">
        <v>0</v>
      </c>
      <c r="N20" s="123">
        <v>0</v>
      </c>
      <c r="O20" s="123"/>
      <c r="P20" s="123"/>
      <c r="Q20" s="123"/>
      <c r="R20" s="123"/>
      <c r="S20" s="122">
        <f t="shared" si="0"/>
        <v>198824</v>
      </c>
    </row>
    <row r="21" spans="7:19" x14ac:dyDescent="0.25">
      <c r="G21" s="113" t="s">
        <v>501</v>
      </c>
      <c r="H21" s="123">
        <v>0</v>
      </c>
      <c r="I21" s="123">
        <v>0</v>
      </c>
      <c r="J21" s="123">
        <v>0</v>
      </c>
      <c r="K21" s="123">
        <v>0</v>
      </c>
      <c r="L21" s="123">
        <v>0</v>
      </c>
      <c r="M21" s="123">
        <v>5092033</v>
      </c>
      <c r="N21" s="123">
        <v>6612911</v>
      </c>
      <c r="O21" s="123"/>
      <c r="P21" s="123"/>
      <c r="Q21" s="123"/>
      <c r="R21" s="123"/>
      <c r="S21" s="122">
        <f t="shared" si="0"/>
        <v>11704944</v>
      </c>
    </row>
    <row r="22" spans="7:19" x14ac:dyDescent="0.25">
      <c r="G22" s="113" t="s">
        <v>910</v>
      </c>
      <c r="H22" s="123">
        <v>56108</v>
      </c>
      <c r="I22" s="123">
        <v>0</v>
      </c>
      <c r="J22" s="123">
        <v>0</v>
      </c>
      <c r="K22" s="123">
        <v>0</v>
      </c>
      <c r="L22" s="123">
        <v>0</v>
      </c>
      <c r="M22" s="123">
        <v>0</v>
      </c>
      <c r="N22" s="123">
        <v>0</v>
      </c>
      <c r="O22" s="123"/>
      <c r="P22" s="123"/>
      <c r="Q22" s="123"/>
      <c r="R22" s="123"/>
      <c r="S22" s="122">
        <f t="shared" si="0"/>
        <v>56108</v>
      </c>
    </row>
    <row r="23" spans="7:19" ht="20.100000000000001" customHeight="1" x14ac:dyDescent="0.25">
      <c r="G23" s="79" t="s">
        <v>279</v>
      </c>
      <c r="H23" s="139">
        <f>IF(COUNT(H18:H22),SUM(H18:H22),"")</f>
        <v>5910801</v>
      </c>
      <c r="I23" s="139">
        <f t="shared" ref="I23:R23" si="1">IF(COUNT(I18:I22),SUM(I18:I22),"")</f>
        <v>0</v>
      </c>
      <c r="J23" s="139">
        <f t="shared" si="1"/>
        <v>0</v>
      </c>
      <c r="K23" s="139">
        <f t="shared" si="1"/>
        <v>23541</v>
      </c>
      <c r="L23" s="139">
        <f t="shared" si="1"/>
        <v>198824</v>
      </c>
      <c r="M23" s="139">
        <f t="shared" si="1"/>
        <v>5495392</v>
      </c>
      <c r="N23" s="139">
        <f t="shared" si="1"/>
        <v>6959512</v>
      </c>
      <c r="O23" s="139" t="str">
        <f t="shared" si="1"/>
        <v/>
      </c>
      <c r="P23" s="139" t="str">
        <f t="shared" si="1"/>
        <v/>
      </c>
      <c r="Q23" s="139" t="str">
        <f t="shared" si="1"/>
        <v/>
      </c>
      <c r="R23" s="139" t="str">
        <f t="shared" si="1"/>
        <v/>
      </c>
      <c r="S23" s="139">
        <f t="shared" si="0"/>
        <v>18588070</v>
      </c>
    </row>
    <row r="24" spans="7:19" x14ac:dyDescent="0.25">
      <c r="G24" s="114" t="s">
        <v>278</v>
      </c>
      <c r="H24" s="124">
        <v>1101484</v>
      </c>
      <c r="I24" s="124">
        <v>0</v>
      </c>
      <c r="J24" s="124">
        <v>0</v>
      </c>
      <c r="K24" s="124">
        <v>0</v>
      </c>
      <c r="L24" s="124">
        <v>0</v>
      </c>
      <c r="M24" s="124">
        <v>0</v>
      </c>
      <c r="N24" s="124">
        <v>0</v>
      </c>
      <c r="O24" s="124"/>
      <c r="P24" s="124"/>
      <c r="Q24" s="124"/>
      <c r="R24" s="124"/>
      <c r="S24" s="142">
        <f t="shared" si="0"/>
        <v>1101484</v>
      </c>
    </row>
    <row r="25" spans="7:19" ht="27.75" customHeight="1" x14ac:dyDescent="0.25">
      <c r="G25" s="10" t="s">
        <v>502</v>
      </c>
      <c r="H25" s="670"/>
      <c r="I25" s="671"/>
      <c r="J25" s="671"/>
      <c r="K25" s="671"/>
      <c r="L25" s="671"/>
      <c r="M25" s="671"/>
      <c r="N25" s="671"/>
      <c r="O25" s="671"/>
      <c r="P25" s="671"/>
      <c r="Q25" s="671"/>
      <c r="R25" s="671"/>
      <c r="S25" s="672"/>
    </row>
    <row r="26" spans="7:19" x14ac:dyDescent="0.25">
      <c r="G26" s="147" t="s">
        <v>503</v>
      </c>
      <c r="H26" s="131">
        <v>435601</v>
      </c>
      <c r="I26" s="131">
        <v>0</v>
      </c>
      <c r="J26" s="131">
        <v>0</v>
      </c>
      <c r="K26" s="131">
        <v>0</v>
      </c>
      <c r="L26" s="131">
        <v>4075514</v>
      </c>
      <c r="M26" s="131">
        <v>490940</v>
      </c>
      <c r="N26" s="131">
        <v>18910</v>
      </c>
      <c r="O26" s="131"/>
      <c r="P26" s="131"/>
      <c r="Q26" s="131"/>
      <c r="R26" s="131"/>
      <c r="S26" s="146">
        <f t="shared" si="0"/>
        <v>5020965</v>
      </c>
    </row>
    <row r="27" spans="7:19" x14ac:dyDescent="0.25">
      <c r="G27" s="147" t="s">
        <v>504</v>
      </c>
      <c r="H27" s="131">
        <v>4094813</v>
      </c>
      <c r="I27" s="131">
        <v>0</v>
      </c>
      <c r="J27" s="131">
        <v>0</v>
      </c>
      <c r="K27" s="131">
        <v>0</v>
      </c>
      <c r="L27" s="131">
        <v>0</v>
      </c>
      <c r="M27" s="131">
        <v>0</v>
      </c>
      <c r="N27" s="131">
        <v>0</v>
      </c>
      <c r="O27" s="131"/>
      <c r="P27" s="131"/>
      <c r="Q27" s="131"/>
      <c r="R27" s="131"/>
      <c r="S27" s="146">
        <f t="shared" si="0"/>
        <v>4094813</v>
      </c>
    </row>
    <row r="28" spans="7:19" x14ac:dyDescent="0.25">
      <c r="G28" s="113" t="s">
        <v>505</v>
      </c>
      <c r="H28" s="123">
        <v>582259</v>
      </c>
      <c r="I28" s="123">
        <v>0</v>
      </c>
      <c r="J28" s="123">
        <v>0</v>
      </c>
      <c r="K28" s="123">
        <v>4046843</v>
      </c>
      <c r="L28" s="123">
        <v>0</v>
      </c>
      <c r="M28" s="123">
        <v>0</v>
      </c>
      <c r="N28" s="123">
        <v>0</v>
      </c>
      <c r="O28" s="123"/>
      <c r="P28" s="123"/>
      <c r="Q28" s="123"/>
      <c r="R28" s="123"/>
      <c r="S28" s="122">
        <f t="shared" si="0"/>
        <v>4629102</v>
      </c>
    </row>
    <row r="29" spans="7:19" x14ac:dyDescent="0.25">
      <c r="G29" s="113" t="s">
        <v>506</v>
      </c>
      <c r="H29" s="123">
        <v>59484</v>
      </c>
      <c r="I29" s="123">
        <v>0</v>
      </c>
      <c r="J29" s="123">
        <v>0</v>
      </c>
      <c r="K29" s="123">
        <v>0</v>
      </c>
      <c r="L29" s="123">
        <v>0</v>
      </c>
      <c r="M29" s="123">
        <v>0</v>
      </c>
      <c r="N29" s="123">
        <v>10421</v>
      </c>
      <c r="O29" s="123"/>
      <c r="P29" s="123"/>
      <c r="Q29" s="123"/>
      <c r="R29" s="123"/>
      <c r="S29" s="122">
        <f t="shared" si="0"/>
        <v>69905</v>
      </c>
    </row>
    <row r="30" spans="7:19" x14ac:dyDescent="0.25">
      <c r="G30" s="111" t="s">
        <v>507</v>
      </c>
      <c r="H30" s="141">
        <v>48987</v>
      </c>
      <c r="I30" s="141">
        <v>0</v>
      </c>
      <c r="J30" s="141">
        <v>0</v>
      </c>
      <c r="K30" s="141">
        <v>0</v>
      </c>
      <c r="L30" s="141">
        <v>0</v>
      </c>
      <c r="M30" s="141">
        <v>0</v>
      </c>
      <c r="N30" s="141">
        <v>3543</v>
      </c>
      <c r="O30" s="141"/>
      <c r="P30" s="141"/>
      <c r="Q30" s="141"/>
      <c r="R30" s="141"/>
      <c r="S30" s="140">
        <f t="shared" si="0"/>
        <v>52530</v>
      </c>
    </row>
    <row r="31" spans="7:19" ht="30" x14ac:dyDescent="0.25">
      <c r="G31" s="190" t="s">
        <v>508</v>
      </c>
      <c r="H31" s="139">
        <f>IF(COUNT(H26:H30),SUM(H26:H30),"")</f>
        <v>5221144</v>
      </c>
      <c r="I31" s="139">
        <f t="shared" ref="I31:R31" si="2">IF(COUNT(I26:I30),SUM(I26:I30),"")</f>
        <v>0</v>
      </c>
      <c r="J31" s="139">
        <f t="shared" si="2"/>
        <v>0</v>
      </c>
      <c r="K31" s="139">
        <f t="shared" si="2"/>
        <v>4046843</v>
      </c>
      <c r="L31" s="139">
        <f t="shared" si="2"/>
        <v>4075514</v>
      </c>
      <c r="M31" s="139">
        <f t="shared" si="2"/>
        <v>490940</v>
      </c>
      <c r="N31" s="139">
        <f t="shared" si="2"/>
        <v>32874</v>
      </c>
      <c r="O31" s="139" t="str">
        <f t="shared" si="2"/>
        <v/>
      </c>
      <c r="P31" s="139" t="str">
        <f t="shared" si="2"/>
        <v/>
      </c>
      <c r="Q31" s="139" t="str">
        <f t="shared" si="2"/>
        <v/>
      </c>
      <c r="R31" s="139" t="str">
        <f t="shared" si="2"/>
        <v/>
      </c>
      <c r="S31" s="139">
        <f t="shared" si="0"/>
        <v>13867315</v>
      </c>
    </row>
    <row r="32" spans="7:19" x14ac:dyDescent="0.25">
      <c r="G32" s="113" t="s">
        <v>277</v>
      </c>
      <c r="H32" s="123">
        <v>66615</v>
      </c>
      <c r="I32" s="123">
        <v>0</v>
      </c>
      <c r="J32" s="123">
        <v>0</v>
      </c>
      <c r="K32" s="123">
        <v>0</v>
      </c>
      <c r="L32" s="123">
        <v>0</v>
      </c>
      <c r="M32" s="123">
        <v>0</v>
      </c>
      <c r="N32" s="123">
        <v>0</v>
      </c>
      <c r="O32" s="113"/>
      <c r="P32" s="113"/>
      <c r="Q32" s="113"/>
      <c r="R32" s="113"/>
      <c r="S32" s="122">
        <f t="shared" si="0"/>
        <v>66615</v>
      </c>
    </row>
    <row r="33" spans="7:19" x14ac:dyDescent="0.25">
      <c r="G33" s="113" t="s">
        <v>509</v>
      </c>
      <c r="H33" s="123">
        <v>1156357</v>
      </c>
      <c r="I33" s="123">
        <v>0</v>
      </c>
      <c r="J33" s="123">
        <v>0</v>
      </c>
      <c r="K33" s="123">
        <v>0</v>
      </c>
      <c r="L33" s="123">
        <v>0</v>
      </c>
      <c r="M33" s="123">
        <v>1270</v>
      </c>
      <c r="N33" s="123">
        <v>71975</v>
      </c>
      <c r="O33" s="113"/>
      <c r="P33" s="113"/>
      <c r="Q33" s="113"/>
      <c r="R33" s="113"/>
      <c r="S33" s="122">
        <f t="shared" si="0"/>
        <v>1229602</v>
      </c>
    </row>
    <row r="34" spans="7:19" x14ac:dyDescent="0.25">
      <c r="G34" s="113" t="s">
        <v>510</v>
      </c>
      <c r="H34" s="123">
        <v>7819613</v>
      </c>
      <c r="I34" s="123">
        <v>0</v>
      </c>
      <c r="J34" s="123">
        <v>0</v>
      </c>
      <c r="K34" s="123">
        <v>0</v>
      </c>
      <c r="L34" s="123">
        <v>0</v>
      </c>
      <c r="M34" s="123">
        <v>0</v>
      </c>
      <c r="N34" s="123">
        <v>0</v>
      </c>
      <c r="O34" s="113"/>
      <c r="P34" s="113"/>
      <c r="Q34" s="113"/>
      <c r="R34" s="113"/>
      <c r="S34" s="122">
        <f t="shared" si="0"/>
        <v>7819613</v>
      </c>
    </row>
    <row r="35" spans="7:19" ht="20.100000000000001" customHeight="1" x14ac:dyDescent="0.25">
      <c r="G35" s="190" t="s">
        <v>861</v>
      </c>
      <c r="H35" s="139">
        <f>IF(COUNT(H13:H16,H23,H24,H31:H34),SUM(H13:H16,H23,H24,H31:H34),"")</f>
        <v>76135393</v>
      </c>
      <c r="I35" s="139">
        <f t="shared" ref="I35:S35" si="3">IF(COUNT(I13:I16,I23,I24,I31:I34),SUM(I13:I16,I23,I24,I31:I34),"")</f>
        <v>4828468</v>
      </c>
      <c r="J35" s="139">
        <f t="shared" si="3"/>
        <v>22355326</v>
      </c>
      <c r="K35" s="139">
        <f t="shared" si="3"/>
        <v>70086686</v>
      </c>
      <c r="L35" s="139">
        <f t="shared" si="3"/>
        <v>113550198</v>
      </c>
      <c r="M35" s="139">
        <f t="shared" si="3"/>
        <v>7527784</v>
      </c>
      <c r="N35" s="139">
        <f t="shared" si="3"/>
        <v>72309930</v>
      </c>
      <c r="O35" s="139" t="str">
        <f t="shared" si="3"/>
        <v/>
      </c>
      <c r="P35" s="139" t="str">
        <f t="shared" si="3"/>
        <v/>
      </c>
      <c r="Q35" s="139" t="str">
        <f t="shared" si="3"/>
        <v/>
      </c>
      <c r="R35" s="139" t="str">
        <f t="shared" si="3"/>
        <v/>
      </c>
      <c r="S35" s="139">
        <f t="shared" si="3"/>
        <v>366793785</v>
      </c>
    </row>
    <row r="36" spans="7:19" ht="30" x14ac:dyDescent="0.25">
      <c r="G36" s="2" t="s">
        <v>276</v>
      </c>
      <c r="H36" s="673"/>
      <c r="I36" s="674"/>
      <c r="J36" s="674"/>
      <c r="K36" s="674"/>
      <c r="L36" s="674"/>
      <c r="M36" s="674"/>
      <c r="N36" s="674"/>
      <c r="O36" s="674"/>
      <c r="P36" s="674"/>
      <c r="Q36" s="674"/>
      <c r="R36" s="674"/>
      <c r="S36" s="675"/>
    </row>
    <row r="37" spans="7:19" ht="20.100000000000001" customHeight="1" x14ac:dyDescent="0.25">
      <c r="G37" s="10" t="s">
        <v>227</v>
      </c>
      <c r="H37" s="673"/>
      <c r="I37" s="674"/>
      <c r="J37" s="674"/>
      <c r="K37" s="674"/>
      <c r="L37" s="674"/>
      <c r="M37" s="674"/>
      <c r="N37" s="674"/>
      <c r="O37" s="674"/>
      <c r="P37" s="674"/>
      <c r="Q37" s="674"/>
      <c r="R37" s="674"/>
      <c r="S37" s="675"/>
    </row>
    <row r="38" spans="7:19" x14ac:dyDescent="0.25">
      <c r="G38" s="114" t="s">
        <v>511</v>
      </c>
      <c r="H38" s="124">
        <v>2287153</v>
      </c>
      <c r="I38" s="124">
        <v>0</v>
      </c>
      <c r="J38" s="124">
        <v>0</v>
      </c>
      <c r="K38" s="124">
        <v>3016262</v>
      </c>
      <c r="L38" s="124">
        <v>3096220</v>
      </c>
      <c r="M38" s="124">
        <v>98912</v>
      </c>
      <c r="N38" s="124">
        <v>968032</v>
      </c>
      <c r="O38" s="124"/>
      <c r="P38" s="124"/>
      <c r="Q38" s="124"/>
      <c r="R38" s="124"/>
      <c r="S38" s="122">
        <f t="shared" ref="S38:S58" si="4">IF(COUNT(H38:R38),SUM(H38:R38),"")</f>
        <v>9466579</v>
      </c>
    </row>
    <row r="39" spans="7:19" x14ac:dyDescent="0.25">
      <c r="G39" s="113" t="s">
        <v>512</v>
      </c>
      <c r="H39" s="123">
        <v>6373573</v>
      </c>
      <c r="I39" s="123">
        <v>0</v>
      </c>
      <c r="J39" s="123">
        <v>0</v>
      </c>
      <c r="K39" s="123">
        <v>96105</v>
      </c>
      <c r="L39" s="123">
        <v>25618</v>
      </c>
      <c r="M39" s="123">
        <v>8713</v>
      </c>
      <c r="N39" s="123">
        <v>584094</v>
      </c>
      <c r="O39" s="123"/>
      <c r="P39" s="123"/>
      <c r="Q39" s="123"/>
      <c r="R39" s="123"/>
      <c r="S39" s="122">
        <f t="shared" si="4"/>
        <v>7088103</v>
      </c>
    </row>
    <row r="40" spans="7:19" x14ac:dyDescent="0.25">
      <c r="G40" s="113" t="s">
        <v>513</v>
      </c>
      <c r="H40" s="123">
        <v>1325</v>
      </c>
      <c r="I40" s="123">
        <v>0</v>
      </c>
      <c r="J40" s="123">
        <v>0</v>
      </c>
      <c r="K40" s="123">
        <v>0</v>
      </c>
      <c r="L40" s="123">
        <v>0</v>
      </c>
      <c r="M40" s="123">
        <v>215374</v>
      </c>
      <c r="N40" s="123">
        <v>57532</v>
      </c>
      <c r="O40" s="123"/>
      <c r="P40" s="123"/>
      <c r="Q40" s="123"/>
      <c r="R40" s="123"/>
      <c r="S40" s="122">
        <f t="shared" si="4"/>
        <v>274231</v>
      </c>
    </row>
    <row r="41" spans="7:19" x14ac:dyDescent="0.25">
      <c r="G41" s="113" t="s">
        <v>514</v>
      </c>
      <c r="H41" s="123">
        <v>0</v>
      </c>
      <c r="I41" s="123">
        <v>0</v>
      </c>
      <c r="J41" s="123">
        <v>0</v>
      </c>
      <c r="K41" s="123">
        <v>895623</v>
      </c>
      <c r="L41" s="123">
        <v>402100</v>
      </c>
      <c r="M41" s="123">
        <v>0</v>
      </c>
      <c r="N41" s="123">
        <v>83658</v>
      </c>
      <c r="O41" s="123"/>
      <c r="P41" s="123"/>
      <c r="Q41" s="123"/>
      <c r="R41" s="123"/>
      <c r="S41" s="122">
        <f t="shared" si="4"/>
        <v>1381381</v>
      </c>
    </row>
    <row r="42" spans="7:19" ht="30.75" customHeight="1" x14ac:dyDescent="0.25">
      <c r="G42" s="251" t="s">
        <v>860</v>
      </c>
      <c r="H42" s="123">
        <v>225529</v>
      </c>
      <c r="I42" s="123">
        <v>0</v>
      </c>
      <c r="J42" s="123">
        <v>0</v>
      </c>
      <c r="K42" s="123">
        <v>22840</v>
      </c>
      <c r="L42" s="123">
        <v>0</v>
      </c>
      <c r="M42" s="123">
        <v>0</v>
      </c>
      <c r="N42" s="123">
        <v>504886</v>
      </c>
      <c r="O42" s="123"/>
      <c r="P42" s="123"/>
      <c r="Q42" s="123"/>
      <c r="R42" s="123"/>
      <c r="S42" s="122">
        <f t="shared" si="4"/>
        <v>753255</v>
      </c>
    </row>
    <row r="43" spans="7:19" x14ac:dyDescent="0.25">
      <c r="G43" s="112" t="s">
        <v>515</v>
      </c>
      <c r="H43" s="145">
        <v>0</v>
      </c>
      <c r="I43" s="145">
        <v>0</v>
      </c>
      <c r="J43" s="145">
        <v>0</v>
      </c>
      <c r="K43" s="145">
        <v>0</v>
      </c>
      <c r="L43" s="145">
        <v>174479</v>
      </c>
      <c r="M43" s="145">
        <v>0</v>
      </c>
      <c r="N43" s="145">
        <v>307640</v>
      </c>
      <c r="O43" s="145"/>
      <c r="P43" s="145"/>
      <c r="Q43" s="145"/>
      <c r="R43" s="145"/>
      <c r="S43" s="122">
        <f t="shared" si="4"/>
        <v>482119</v>
      </c>
    </row>
    <row r="44" spans="7:19" x14ac:dyDescent="0.25">
      <c r="G44" s="112" t="s">
        <v>275</v>
      </c>
      <c r="H44" s="145">
        <v>586781</v>
      </c>
      <c r="I44" s="145">
        <v>0</v>
      </c>
      <c r="J44" s="145">
        <v>0</v>
      </c>
      <c r="K44" s="145">
        <v>0</v>
      </c>
      <c r="L44" s="145">
        <v>0</v>
      </c>
      <c r="M44" s="145">
        <v>0</v>
      </c>
      <c r="N44" s="145">
        <v>182891</v>
      </c>
      <c r="O44" s="145"/>
      <c r="P44" s="145"/>
      <c r="Q44" s="145"/>
      <c r="R44" s="145"/>
      <c r="S44" s="122">
        <f t="shared" si="4"/>
        <v>769672</v>
      </c>
    </row>
    <row r="45" spans="7:19" ht="20.100000000000001" customHeight="1" x14ac:dyDescent="0.25">
      <c r="G45" s="79" t="s">
        <v>274</v>
      </c>
      <c r="H45" s="139">
        <f>IF(COUNT(H38:H44),SUM(H38:H44),"")</f>
        <v>9474361</v>
      </c>
      <c r="I45" s="139">
        <f t="shared" ref="I45:R45" si="5">IF(COUNT(I38:I44),SUM(I38:I44),"")</f>
        <v>0</v>
      </c>
      <c r="J45" s="139">
        <f t="shared" si="5"/>
        <v>0</v>
      </c>
      <c r="K45" s="139">
        <f t="shared" si="5"/>
        <v>4030830</v>
      </c>
      <c r="L45" s="139">
        <f t="shared" si="5"/>
        <v>3698417</v>
      </c>
      <c r="M45" s="139">
        <f t="shared" si="5"/>
        <v>322999</v>
      </c>
      <c r="N45" s="139">
        <f t="shared" si="5"/>
        <v>2688733</v>
      </c>
      <c r="O45" s="139" t="str">
        <f t="shared" si="5"/>
        <v/>
      </c>
      <c r="P45" s="139" t="str">
        <f t="shared" si="5"/>
        <v/>
      </c>
      <c r="Q45" s="139" t="str">
        <f t="shared" si="5"/>
        <v/>
      </c>
      <c r="R45" s="139" t="str">
        <f t="shared" si="5"/>
        <v/>
      </c>
      <c r="S45" s="139">
        <f t="shared" si="4"/>
        <v>20215340</v>
      </c>
    </row>
    <row r="46" spans="7:19" ht="20.100000000000001" customHeight="1" x14ac:dyDescent="0.25">
      <c r="G46" s="10" t="s">
        <v>516</v>
      </c>
      <c r="H46" s="692"/>
      <c r="I46" s="693"/>
      <c r="J46" s="693"/>
      <c r="K46" s="693"/>
      <c r="L46" s="693"/>
      <c r="M46" s="693"/>
      <c r="N46" s="693"/>
      <c r="O46" s="693"/>
      <c r="P46" s="693"/>
      <c r="Q46" s="693"/>
      <c r="R46" s="693"/>
      <c r="S46" s="694"/>
    </row>
    <row r="47" spans="7:19" x14ac:dyDescent="0.25">
      <c r="G47" s="242" t="s">
        <v>517</v>
      </c>
      <c r="H47" s="213">
        <v>18581</v>
      </c>
      <c r="I47" s="213">
        <v>0</v>
      </c>
      <c r="J47" s="213">
        <v>0</v>
      </c>
      <c r="K47" s="213">
        <v>0</v>
      </c>
      <c r="L47" s="213">
        <v>0</v>
      </c>
      <c r="M47" s="213">
        <v>0</v>
      </c>
      <c r="N47" s="243">
        <v>0</v>
      </c>
      <c r="O47" s="213"/>
      <c r="P47" s="213"/>
      <c r="Q47" s="213"/>
      <c r="R47" s="213"/>
      <c r="S47" s="244">
        <f t="shared" si="4"/>
        <v>18581</v>
      </c>
    </row>
    <row r="48" spans="7:19" ht="30" x14ac:dyDescent="0.25">
      <c r="G48" s="245" t="s">
        <v>518</v>
      </c>
      <c r="H48" s="246">
        <v>0</v>
      </c>
      <c r="I48" s="246">
        <v>0</v>
      </c>
      <c r="J48" s="246">
        <v>0</v>
      </c>
      <c r="K48" s="246">
        <v>0</v>
      </c>
      <c r="L48" s="246">
        <v>0</v>
      </c>
      <c r="M48" s="246">
        <v>5092033</v>
      </c>
      <c r="N48" s="246">
        <v>6612911</v>
      </c>
      <c r="O48" s="246"/>
      <c r="P48" s="246"/>
      <c r="Q48" s="246"/>
      <c r="R48" s="246"/>
      <c r="S48" s="247">
        <f t="shared" si="4"/>
        <v>11704944</v>
      </c>
    </row>
    <row r="49" spans="7:19" ht="30" x14ac:dyDescent="0.25">
      <c r="G49" s="245" t="s">
        <v>519</v>
      </c>
      <c r="H49" s="246">
        <v>224048</v>
      </c>
      <c r="I49" s="246">
        <v>0</v>
      </c>
      <c r="J49" s="246">
        <v>0</v>
      </c>
      <c r="K49" s="246">
        <v>0</v>
      </c>
      <c r="L49" s="246">
        <v>0</v>
      </c>
      <c r="M49" s="246">
        <v>0</v>
      </c>
      <c r="N49" s="246">
        <v>0</v>
      </c>
      <c r="O49" s="246"/>
      <c r="P49" s="246"/>
      <c r="Q49" s="246"/>
      <c r="R49" s="246"/>
      <c r="S49" s="247">
        <f t="shared" si="4"/>
        <v>224048</v>
      </c>
    </row>
    <row r="50" spans="7:19" ht="30" x14ac:dyDescent="0.25">
      <c r="G50" s="248" t="s">
        <v>520</v>
      </c>
      <c r="H50" s="249">
        <v>2116867</v>
      </c>
      <c r="I50" s="249">
        <v>0</v>
      </c>
      <c r="J50" s="249">
        <v>0</v>
      </c>
      <c r="K50" s="249">
        <v>23541</v>
      </c>
      <c r="L50" s="249">
        <v>0</v>
      </c>
      <c r="M50" s="249">
        <v>398646</v>
      </c>
      <c r="N50" s="249">
        <v>231478</v>
      </c>
      <c r="O50" s="249"/>
      <c r="P50" s="249"/>
      <c r="Q50" s="249"/>
      <c r="R50" s="249"/>
      <c r="S50" s="250">
        <f t="shared" si="4"/>
        <v>2770532</v>
      </c>
    </row>
    <row r="51" spans="7:19" ht="20.100000000000001" customHeight="1" x14ac:dyDescent="0.25">
      <c r="G51" s="399" t="s">
        <v>859</v>
      </c>
      <c r="H51" s="139">
        <f>IF(COUNT(H47:H50),SUM(H47:H50),"")</f>
        <v>2359496</v>
      </c>
      <c r="I51" s="139">
        <f t="shared" ref="I51:R51" si="6">IF(COUNT(I47:I50),SUM(I47:I50),"")</f>
        <v>0</v>
      </c>
      <c r="J51" s="139">
        <f t="shared" si="6"/>
        <v>0</v>
      </c>
      <c r="K51" s="139">
        <f t="shared" si="6"/>
        <v>23541</v>
      </c>
      <c r="L51" s="139">
        <f t="shared" si="6"/>
        <v>0</v>
      </c>
      <c r="M51" s="139">
        <f t="shared" si="6"/>
        <v>5490679</v>
      </c>
      <c r="N51" s="139">
        <f t="shared" si="6"/>
        <v>6844389</v>
      </c>
      <c r="O51" s="139" t="str">
        <f t="shared" si="6"/>
        <v/>
      </c>
      <c r="P51" s="139" t="str">
        <f t="shared" si="6"/>
        <v/>
      </c>
      <c r="Q51" s="139" t="str">
        <f t="shared" si="6"/>
        <v/>
      </c>
      <c r="R51" s="139" t="str">
        <f t="shared" si="6"/>
        <v/>
      </c>
      <c r="S51" s="139">
        <f t="shared" si="4"/>
        <v>14718105</v>
      </c>
    </row>
    <row r="52" spans="7:19" ht="20.100000000000001" customHeight="1" x14ac:dyDescent="0.25">
      <c r="G52" s="10" t="s">
        <v>273</v>
      </c>
      <c r="H52" s="673"/>
      <c r="I52" s="674"/>
      <c r="J52" s="674"/>
      <c r="K52" s="674"/>
      <c r="L52" s="674"/>
      <c r="M52" s="674"/>
      <c r="N52" s="674"/>
      <c r="O52" s="674"/>
      <c r="P52" s="674"/>
      <c r="Q52" s="674"/>
      <c r="R52" s="674"/>
      <c r="S52" s="675"/>
    </row>
    <row r="53" spans="7:19" x14ac:dyDescent="0.25">
      <c r="G53" s="114" t="s">
        <v>521</v>
      </c>
      <c r="H53" s="124">
        <v>9042585</v>
      </c>
      <c r="I53" s="124">
        <v>0</v>
      </c>
      <c r="J53" s="124">
        <v>0</v>
      </c>
      <c r="K53" s="124">
        <v>0</v>
      </c>
      <c r="L53" s="124">
        <v>0</v>
      </c>
      <c r="M53" s="124">
        <v>1270</v>
      </c>
      <c r="N53" s="124">
        <v>502430</v>
      </c>
      <c r="O53" s="124"/>
      <c r="P53" s="124"/>
      <c r="Q53" s="124"/>
      <c r="R53" s="124"/>
      <c r="S53" s="142">
        <f t="shared" si="4"/>
        <v>9546285</v>
      </c>
    </row>
    <row r="54" spans="7:19" x14ac:dyDescent="0.25">
      <c r="G54" s="113" t="s">
        <v>216</v>
      </c>
      <c r="H54" s="123">
        <v>0</v>
      </c>
      <c r="I54" s="123">
        <v>4828468</v>
      </c>
      <c r="J54" s="123">
        <v>22355326</v>
      </c>
      <c r="K54" s="123">
        <v>66032315</v>
      </c>
      <c r="L54" s="123">
        <v>100231852</v>
      </c>
      <c r="M54" s="123">
        <v>1712836</v>
      </c>
      <c r="N54" s="123">
        <v>34570892</v>
      </c>
      <c r="O54" s="123"/>
      <c r="P54" s="123"/>
      <c r="Q54" s="123"/>
      <c r="R54" s="123"/>
      <c r="S54" s="122">
        <f t="shared" si="4"/>
        <v>229731689</v>
      </c>
    </row>
    <row r="55" spans="7:19" x14ac:dyDescent="0.25">
      <c r="G55" s="113" t="s">
        <v>522</v>
      </c>
      <c r="H55" s="123">
        <v>32104733</v>
      </c>
      <c r="I55" s="123">
        <v>0</v>
      </c>
      <c r="J55" s="123">
        <v>0</v>
      </c>
      <c r="K55" s="123">
        <v>0</v>
      </c>
      <c r="L55" s="123">
        <v>4191582</v>
      </c>
      <c r="M55" s="123">
        <v>0</v>
      </c>
      <c r="N55" s="123">
        <v>11565726</v>
      </c>
      <c r="O55" s="123"/>
      <c r="P55" s="123"/>
      <c r="Q55" s="123"/>
      <c r="R55" s="123"/>
      <c r="S55" s="122">
        <f t="shared" si="4"/>
        <v>47862041</v>
      </c>
    </row>
    <row r="56" spans="7:19" x14ac:dyDescent="0.25">
      <c r="G56" s="112" t="s">
        <v>272</v>
      </c>
      <c r="H56" s="145">
        <v>0</v>
      </c>
      <c r="I56" s="145">
        <v>0</v>
      </c>
      <c r="J56" s="145">
        <v>0</v>
      </c>
      <c r="K56" s="145">
        <v>0</v>
      </c>
      <c r="L56" s="145">
        <v>5428347</v>
      </c>
      <c r="M56" s="145">
        <v>0</v>
      </c>
      <c r="N56" s="145">
        <v>16137760</v>
      </c>
      <c r="O56" s="145"/>
      <c r="P56" s="145"/>
      <c r="Q56" s="145"/>
      <c r="R56" s="145"/>
      <c r="S56" s="144">
        <f t="shared" si="4"/>
        <v>21566107</v>
      </c>
    </row>
    <row r="57" spans="7:19" x14ac:dyDescent="0.25">
      <c r="G57" s="111" t="s">
        <v>271</v>
      </c>
      <c r="H57" s="141">
        <v>23154218</v>
      </c>
      <c r="I57" s="141">
        <v>0</v>
      </c>
      <c r="J57" s="141">
        <v>0</v>
      </c>
      <c r="K57" s="141">
        <v>0</v>
      </c>
      <c r="L57" s="141">
        <v>0</v>
      </c>
      <c r="M57" s="141">
        <v>0</v>
      </c>
      <c r="N57" s="141">
        <v>0</v>
      </c>
      <c r="O57" s="141"/>
      <c r="P57" s="141"/>
      <c r="Q57" s="141"/>
      <c r="R57" s="141"/>
      <c r="S57" s="140">
        <f t="shared" si="4"/>
        <v>23154218</v>
      </c>
    </row>
    <row r="58" spans="7:19" ht="20.100000000000001" customHeight="1" x14ac:dyDescent="0.25">
      <c r="G58" s="79" t="s">
        <v>270</v>
      </c>
      <c r="H58" s="139">
        <f>IF(COUNT(H53:H57),SUM(H53:H57),"")</f>
        <v>64301536</v>
      </c>
      <c r="I58" s="139">
        <f t="shared" ref="I58:R58" si="7">IF(COUNT(I53:I57),SUM(I53:I57),"")</f>
        <v>4828468</v>
      </c>
      <c r="J58" s="139">
        <f t="shared" si="7"/>
        <v>22355326</v>
      </c>
      <c r="K58" s="139">
        <f t="shared" si="7"/>
        <v>66032315</v>
      </c>
      <c r="L58" s="139">
        <f t="shared" si="7"/>
        <v>109851781</v>
      </c>
      <c r="M58" s="139">
        <f t="shared" si="7"/>
        <v>1714106</v>
      </c>
      <c r="N58" s="139">
        <f t="shared" si="7"/>
        <v>62776808</v>
      </c>
      <c r="O58" s="139" t="str">
        <f t="shared" si="7"/>
        <v/>
      </c>
      <c r="P58" s="139" t="str">
        <f t="shared" si="7"/>
        <v/>
      </c>
      <c r="Q58" s="139" t="str">
        <f t="shared" si="7"/>
        <v/>
      </c>
      <c r="R58" s="139" t="str">
        <f t="shared" si="7"/>
        <v/>
      </c>
      <c r="S58" s="139">
        <f t="shared" si="4"/>
        <v>331860340</v>
      </c>
    </row>
    <row r="59" spans="7:19" ht="30" x14ac:dyDescent="0.25">
      <c r="G59" s="190" t="s">
        <v>269</v>
      </c>
      <c r="H59" s="139">
        <f>IF(COUNT(H45,H51,H58),SUM(H45,H51,H58),"")</f>
        <v>76135393</v>
      </c>
      <c r="I59" s="139">
        <f t="shared" ref="I59:S59" si="8">IF(COUNT(I45,I51,I58),SUM(I45,I51,I58),"")</f>
        <v>4828468</v>
      </c>
      <c r="J59" s="139">
        <f t="shared" si="8"/>
        <v>22355326</v>
      </c>
      <c r="K59" s="139">
        <f t="shared" si="8"/>
        <v>70086686</v>
      </c>
      <c r="L59" s="139">
        <f t="shared" si="8"/>
        <v>113550198</v>
      </c>
      <c r="M59" s="139">
        <f t="shared" si="8"/>
        <v>7527784</v>
      </c>
      <c r="N59" s="139">
        <f t="shared" si="8"/>
        <v>72309930</v>
      </c>
      <c r="O59" s="139" t="str">
        <f t="shared" si="8"/>
        <v/>
      </c>
      <c r="P59" s="139" t="str">
        <f t="shared" si="8"/>
        <v/>
      </c>
      <c r="Q59" s="139" t="str">
        <f t="shared" si="8"/>
        <v/>
      </c>
      <c r="R59" s="139" t="str">
        <f t="shared" si="8"/>
        <v/>
      </c>
      <c r="S59" s="139">
        <f t="shared" si="8"/>
        <v>366793785</v>
      </c>
    </row>
    <row r="60" spans="7:19" x14ac:dyDescent="0.25"/>
    <row r="61" spans="7:19" hidden="1" x14ac:dyDescent="0.25"/>
  </sheetData>
  <sheetProtection algorithmName="SHA-512" hashValue="jefJsFejrTGUP6ppfx22a4G+A5an2WqkF/JRvpnSMmKWtty1EQxD96RyfjBeHdjJYii74s2FC2chu8ecN9wPNw==" saltValue="aBSYZn0iXTgBf5ziiRakqg==" spinCount="100000" sheet="1" objects="1" scenarios="1"/>
  <mergeCells count="8">
    <mergeCell ref="H37:S37"/>
    <mergeCell ref="H46:S46"/>
    <mergeCell ref="H52:S52"/>
    <mergeCell ref="G10:R10"/>
    <mergeCell ref="H36:S36"/>
    <mergeCell ref="H12:S12"/>
    <mergeCell ref="H17:S17"/>
    <mergeCell ref="H25:S25"/>
  </mergeCells>
  <dataValidations count="2">
    <dataValidation type="whole" allowBlank="1" showInputMessage="1" showErrorMessage="1" sqref="H13:H59 I18:S24 I13:S16 I47:S51 I26:S35 I38:S45 I53:S59" xr:uid="{00000000-0002-0000-0400-000000000000}">
      <formula1>-1.11111111111111E+38</formula1>
      <formula2>1.11111111111111E+37</formula2>
    </dataValidation>
    <dataValidation allowBlank="1" showInputMessage="1" showErrorMessage="1" prompt="Nature of other government fund" sqref="N11:R11 I11:J11" xr:uid="{00000000-0002-0000-0400-000001000000}"/>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outlinePr summaryRight="0"/>
  </sheetPr>
  <dimension ref="E1:V100"/>
  <sheetViews>
    <sheetView showGridLines="0" topLeftCell="F9" zoomScale="70" zoomScaleNormal="70"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1.7109375" style="27" customWidth="1"/>
    <col min="8" max="17" width="20.7109375" style="27" customWidth="1"/>
    <col min="18" max="18" width="20.7109375" style="27" hidden="1" customWidth="1"/>
    <col min="19" max="19" width="19.5703125" style="27" customWidth="1"/>
    <col min="20" max="20" width="2.7109375" customWidth="1"/>
    <col min="21" max="21" width="2.7109375" hidden="1" customWidth="1"/>
    <col min="22" max="22" width="0" hidden="1" customWidth="1"/>
    <col min="23" max="16384" width="9.140625" hidden="1"/>
  </cols>
  <sheetData>
    <row r="1" spans="7:19" hidden="1" x14ac:dyDescent="0.25"/>
    <row r="2" spans="7:19" hidden="1" x14ac:dyDescent="0.25"/>
    <row r="3" spans="7:19" hidden="1" x14ac:dyDescent="0.25"/>
    <row r="4" spans="7:19" hidden="1" x14ac:dyDescent="0.25"/>
    <row r="5" spans="7:19" hidden="1" x14ac:dyDescent="0.25"/>
    <row r="6" spans="7:19" hidden="1" x14ac:dyDescent="0.25"/>
    <row r="7" spans="7:19" hidden="1" x14ac:dyDescent="0.25"/>
    <row r="8" spans="7:19" hidden="1" x14ac:dyDescent="0.25"/>
    <row r="9" spans="7:19" ht="39.950000000000003" customHeight="1" x14ac:dyDescent="0.25"/>
    <row r="10" spans="7:19" ht="24.95" customHeight="1" x14ac:dyDescent="0.25">
      <c r="G10" s="676" t="s">
        <v>287</v>
      </c>
      <c r="H10" s="677"/>
      <c r="I10" s="677"/>
      <c r="J10" s="677"/>
      <c r="K10" s="677"/>
      <c r="L10" s="677"/>
      <c r="M10" s="677"/>
      <c r="N10" s="677"/>
      <c r="O10" s="677"/>
      <c r="P10" s="677"/>
      <c r="Q10" s="677"/>
      <c r="R10" s="677"/>
      <c r="S10" s="238" t="s">
        <v>346</v>
      </c>
    </row>
    <row r="11" spans="7:19" ht="45" x14ac:dyDescent="0.25">
      <c r="G11" s="194" t="s">
        <v>1</v>
      </c>
      <c r="H11" s="148" t="s">
        <v>282</v>
      </c>
      <c r="I11" s="148" t="s">
        <v>59</v>
      </c>
      <c r="J11" s="148" t="s">
        <v>62</v>
      </c>
      <c r="K11" s="148" t="s">
        <v>728</v>
      </c>
      <c r="L11" s="148" t="s">
        <v>496</v>
      </c>
      <c r="M11" s="148" t="s">
        <v>213</v>
      </c>
      <c r="N11" s="148" t="s">
        <v>281</v>
      </c>
      <c r="O11" s="148"/>
      <c r="P11" s="148" t="s">
        <v>470</v>
      </c>
      <c r="Q11" s="148" t="s">
        <v>470</v>
      </c>
      <c r="R11" s="148" t="s">
        <v>470</v>
      </c>
      <c r="S11" s="148" t="s">
        <v>280</v>
      </c>
    </row>
    <row r="12" spans="7:19" ht="20.100000000000001" customHeight="1" x14ac:dyDescent="0.25">
      <c r="G12" s="625" t="s">
        <v>6</v>
      </c>
      <c r="H12" s="670"/>
      <c r="I12" s="671"/>
      <c r="J12" s="671"/>
      <c r="K12" s="671"/>
      <c r="L12" s="671"/>
      <c r="M12" s="671"/>
      <c r="N12" s="671"/>
      <c r="O12" s="671"/>
      <c r="P12" s="671"/>
      <c r="Q12" s="671"/>
      <c r="R12" s="671"/>
      <c r="S12" s="672"/>
    </row>
    <row r="13" spans="7:19" x14ac:dyDescent="0.25">
      <c r="G13" s="626" t="s">
        <v>7</v>
      </c>
      <c r="H13" s="123">
        <v>125835183</v>
      </c>
      <c r="I13" s="123">
        <v>0</v>
      </c>
      <c r="J13" s="123">
        <v>0</v>
      </c>
      <c r="K13" s="123">
        <v>0</v>
      </c>
      <c r="L13" s="123">
        <v>0</v>
      </c>
      <c r="M13" s="123">
        <v>0</v>
      </c>
      <c r="N13" s="123">
        <v>0</v>
      </c>
      <c r="O13" s="158"/>
      <c r="P13" s="158"/>
      <c r="Q13" s="158"/>
      <c r="R13" s="158"/>
      <c r="S13" s="123">
        <f>IF(COUNT(H13:R13),SUM(H13:R13),"")</f>
        <v>125835183</v>
      </c>
    </row>
    <row r="14" spans="7:19" x14ac:dyDescent="0.25">
      <c r="G14" s="626" t="s">
        <v>907</v>
      </c>
      <c r="H14" s="123">
        <v>27645800</v>
      </c>
      <c r="I14" s="123">
        <v>0</v>
      </c>
      <c r="J14" s="123">
        <v>0</v>
      </c>
      <c r="K14" s="123">
        <v>0</v>
      </c>
      <c r="L14" s="123">
        <v>0</v>
      </c>
      <c r="M14" s="123">
        <v>0</v>
      </c>
      <c r="N14" s="123">
        <v>0</v>
      </c>
      <c r="O14" s="131"/>
      <c r="P14" s="131"/>
      <c r="Q14" s="131"/>
      <c r="R14" s="131"/>
      <c r="S14" s="146">
        <f t="shared" ref="S14:S41" si="0">IF(COUNT(H14:R14),SUM(H14:R14),"")</f>
        <v>27645800</v>
      </c>
    </row>
    <row r="15" spans="7:19" x14ac:dyDescent="0.25">
      <c r="G15" s="626" t="s">
        <v>9</v>
      </c>
      <c r="H15" s="123">
        <v>367923</v>
      </c>
      <c r="I15" s="123">
        <v>0</v>
      </c>
      <c r="J15" s="123">
        <v>0</v>
      </c>
      <c r="K15" s="123">
        <v>0</v>
      </c>
      <c r="L15" s="123">
        <v>0</v>
      </c>
      <c r="M15" s="123">
        <v>0</v>
      </c>
      <c r="N15" s="123">
        <v>6452050</v>
      </c>
      <c r="O15" s="131"/>
      <c r="P15" s="131"/>
      <c r="Q15" s="131"/>
      <c r="R15" s="131"/>
      <c r="S15" s="146">
        <f t="shared" si="0"/>
        <v>6819973</v>
      </c>
    </row>
    <row r="16" spans="7:19" x14ac:dyDescent="0.25">
      <c r="G16" s="626" t="s">
        <v>10</v>
      </c>
      <c r="H16" s="123">
        <v>2607673</v>
      </c>
      <c r="I16" s="123">
        <v>0</v>
      </c>
      <c r="J16" s="123">
        <v>0</v>
      </c>
      <c r="K16" s="123">
        <v>0</v>
      </c>
      <c r="L16" s="123">
        <v>0</v>
      </c>
      <c r="M16" s="123">
        <v>0</v>
      </c>
      <c r="N16" s="123">
        <v>981466</v>
      </c>
      <c r="O16" s="131"/>
      <c r="P16" s="131"/>
      <c r="Q16" s="131"/>
      <c r="R16" s="131"/>
      <c r="S16" s="146">
        <f t="shared" si="0"/>
        <v>3589139</v>
      </c>
    </row>
    <row r="17" spans="7:19" x14ac:dyDescent="0.25">
      <c r="G17" s="626" t="s">
        <v>11</v>
      </c>
      <c r="H17" s="123">
        <v>13465817</v>
      </c>
      <c r="I17" s="123">
        <v>0</v>
      </c>
      <c r="J17" s="123">
        <v>0</v>
      </c>
      <c r="K17" s="123">
        <v>0</v>
      </c>
      <c r="L17" s="123">
        <v>0</v>
      </c>
      <c r="M17" s="123">
        <v>0</v>
      </c>
      <c r="N17" s="123">
        <v>13377771</v>
      </c>
      <c r="O17" s="131"/>
      <c r="P17" s="131"/>
      <c r="Q17" s="131"/>
      <c r="R17" s="131"/>
      <c r="S17" s="146">
        <f t="shared" si="0"/>
        <v>26843588</v>
      </c>
    </row>
    <row r="18" spans="7:19" x14ac:dyDescent="0.25">
      <c r="G18" s="626" t="s">
        <v>12</v>
      </c>
      <c r="H18" s="123">
        <v>7052832</v>
      </c>
      <c r="I18" s="123">
        <v>0</v>
      </c>
      <c r="J18" s="123">
        <v>0</v>
      </c>
      <c r="K18" s="123">
        <v>0</v>
      </c>
      <c r="L18" s="123">
        <v>0</v>
      </c>
      <c r="M18" s="123">
        <v>0</v>
      </c>
      <c r="N18" s="123">
        <v>0</v>
      </c>
      <c r="O18" s="131"/>
      <c r="P18" s="131"/>
      <c r="Q18" s="131"/>
      <c r="R18" s="131"/>
      <c r="S18" s="146">
        <f t="shared" si="0"/>
        <v>7052832</v>
      </c>
    </row>
    <row r="19" spans="7:19" ht="20.100000000000001" customHeight="1" x14ac:dyDescent="0.25">
      <c r="G19" s="627" t="s">
        <v>328</v>
      </c>
      <c r="H19" s="670"/>
      <c r="I19" s="671"/>
      <c r="J19" s="671"/>
      <c r="K19" s="671"/>
      <c r="L19" s="671"/>
      <c r="M19" s="671"/>
      <c r="N19" s="671"/>
      <c r="O19" s="671"/>
      <c r="P19" s="671"/>
      <c r="Q19" s="671"/>
      <c r="R19" s="671"/>
      <c r="S19" s="672"/>
    </row>
    <row r="20" spans="7:19" x14ac:dyDescent="0.25">
      <c r="G20" s="626" t="s">
        <v>367</v>
      </c>
      <c r="H20" s="123">
        <v>3722119</v>
      </c>
      <c r="I20" s="123">
        <v>0</v>
      </c>
      <c r="J20" s="123">
        <v>0</v>
      </c>
      <c r="K20" s="123">
        <v>0</v>
      </c>
      <c r="L20" s="123">
        <v>3399969</v>
      </c>
      <c r="M20" s="123">
        <v>2803262</v>
      </c>
      <c r="N20" s="123">
        <v>1834897</v>
      </c>
      <c r="O20" s="131"/>
      <c r="P20" s="131"/>
      <c r="Q20" s="131"/>
      <c r="R20" s="131"/>
      <c r="S20" s="146">
        <f t="shared" si="0"/>
        <v>11760247</v>
      </c>
    </row>
    <row r="21" spans="7:19" x14ac:dyDescent="0.25">
      <c r="G21" s="626" t="s">
        <v>15</v>
      </c>
      <c r="H21" s="123">
        <v>16172686</v>
      </c>
      <c r="I21" s="123">
        <v>0</v>
      </c>
      <c r="J21" s="123">
        <v>0</v>
      </c>
      <c r="K21" s="123">
        <v>0</v>
      </c>
      <c r="L21" s="123">
        <v>0</v>
      </c>
      <c r="M21" s="123">
        <v>0</v>
      </c>
      <c r="N21" s="123">
        <v>2000004</v>
      </c>
      <c r="O21" s="131"/>
      <c r="P21" s="131"/>
      <c r="Q21" s="131"/>
      <c r="R21" s="131"/>
      <c r="S21" s="146">
        <f t="shared" si="0"/>
        <v>18172690</v>
      </c>
    </row>
    <row r="22" spans="7:19" x14ac:dyDescent="0.25">
      <c r="G22" s="626" t="s">
        <v>16</v>
      </c>
      <c r="H22" s="123">
        <v>10074186</v>
      </c>
      <c r="I22" s="123">
        <v>0</v>
      </c>
      <c r="J22" s="123">
        <v>0</v>
      </c>
      <c r="K22" s="123">
        <v>0</v>
      </c>
      <c r="L22" s="123">
        <v>0</v>
      </c>
      <c r="M22" s="123">
        <v>0</v>
      </c>
      <c r="N22" s="123">
        <v>0</v>
      </c>
      <c r="O22" s="131"/>
      <c r="P22" s="131"/>
      <c r="Q22" s="131"/>
      <c r="R22" s="131"/>
      <c r="S22" s="146">
        <f t="shared" si="0"/>
        <v>10074186</v>
      </c>
    </row>
    <row r="23" spans="7:19" x14ac:dyDescent="0.25">
      <c r="G23" s="626" t="s">
        <v>17</v>
      </c>
      <c r="H23" s="123">
        <v>9620042</v>
      </c>
      <c r="I23" s="123">
        <v>0</v>
      </c>
      <c r="J23" s="123">
        <v>0</v>
      </c>
      <c r="K23" s="123">
        <v>0</v>
      </c>
      <c r="L23" s="123">
        <v>0</v>
      </c>
      <c r="M23" s="123">
        <v>0</v>
      </c>
      <c r="N23" s="123">
        <v>0</v>
      </c>
      <c r="O23" s="131"/>
      <c r="P23" s="131"/>
      <c r="Q23" s="131"/>
      <c r="R23" s="131"/>
      <c r="S23" s="146">
        <f t="shared" si="0"/>
        <v>9620042</v>
      </c>
    </row>
    <row r="24" spans="7:19" x14ac:dyDescent="0.25">
      <c r="G24" s="626" t="s">
        <v>523</v>
      </c>
      <c r="H24" s="123">
        <v>656902</v>
      </c>
      <c r="I24" s="123">
        <v>0</v>
      </c>
      <c r="J24" s="123">
        <v>0</v>
      </c>
      <c r="K24" s="123">
        <v>0</v>
      </c>
      <c r="L24" s="123">
        <v>0</v>
      </c>
      <c r="M24" s="123">
        <v>0</v>
      </c>
      <c r="N24" s="123">
        <v>31670</v>
      </c>
      <c r="O24" s="131"/>
      <c r="P24" s="131"/>
      <c r="Q24" s="131"/>
      <c r="R24" s="131"/>
      <c r="S24" s="146">
        <f t="shared" si="0"/>
        <v>688572</v>
      </c>
    </row>
    <row r="25" spans="7:19" x14ac:dyDescent="0.25">
      <c r="G25" s="626" t="s">
        <v>19</v>
      </c>
      <c r="H25" s="123">
        <v>3544665</v>
      </c>
      <c r="I25" s="123">
        <v>0</v>
      </c>
      <c r="J25" s="123">
        <v>0</v>
      </c>
      <c r="K25" s="123">
        <v>0</v>
      </c>
      <c r="L25" s="123">
        <v>0</v>
      </c>
      <c r="M25" s="123">
        <v>0</v>
      </c>
      <c r="N25" s="123">
        <v>0</v>
      </c>
      <c r="O25" s="131"/>
      <c r="P25" s="131"/>
      <c r="Q25" s="131"/>
      <c r="R25" s="131"/>
      <c r="S25" s="146">
        <f t="shared" si="0"/>
        <v>3544665</v>
      </c>
    </row>
    <row r="26" spans="7:19" x14ac:dyDescent="0.25">
      <c r="G26" s="626" t="s">
        <v>524</v>
      </c>
      <c r="H26" s="123">
        <v>0</v>
      </c>
      <c r="I26" s="123">
        <v>0</v>
      </c>
      <c r="J26" s="123">
        <v>0</v>
      </c>
      <c r="K26" s="123">
        <v>25257535</v>
      </c>
      <c r="L26" s="123">
        <v>0</v>
      </c>
      <c r="M26" s="123">
        <v>0</v>
      </c>
      <c r="N26" s="123">
        <v>0</v>
      </c>
      <c r="O26" s="131"/>
      <c r="P26" s="131"/>
      <c r="Q26" s="131"/>
      <c r="R26" s="131"/>
      <c r="S26" s="146">
        <f t="shared" si="0"/>
        <v>25257535</v>
      </c>
    </row>
    <row r="27" spans="7:19" x14ac:dyDescent="0.25">
      <c r="G27" s="626" t="s">
        <v>60</v>
      </c>
      <c r="H27" s="123">
        <v>0</v>
      </c>
      <c r="I27" s="123">
        <v>966758</v>
      </c>
      <c r="J27" s="123">
        <v>5257062</v>
      </c>
      <c r="K27" s="123">
        <v>0</v>
      </c>
      <c r="L27" s="123">
        <v>0</v>
      </c>
      <c r="M27" s="123">
        <v>0</v>
      </c>
      <c r="N27" s="123">
        <v>0</v>
      </c>
      <c r="O27" s="131"/>
      <c r="P27" s="131"/>
      <c r="Q27" s="131"/>
      <c r="R27" s="131"/>
      <c r="S27" s="146">
        <f t="shared" si="0"/>
        <v>6223820</v>
      </c>
    </row>
    <row r="28" spans="7:19" x14ac:dyDescent="0.25">
      <c r="G28" s="626" t="s">
        <v>525</v>
      </c>
      <c r="H28" s="123">
        <v>57115</v>
      </c>
      <c r="I28" s="123">
        <v>0</v>
      </c>
      <c r="J28" s="123">
        <v>0</v>
      </c>
      <c r="K28" s="123">
        <v>4300000</v>
      </c>
      <c r="L28" s="123">
        <v>0</v>
      </c>
      <c r="M28" s="123">
        <v>0</v>
      </c>
      <c r="N28" s="123">
        <v>95463</v>
      </c>
      <c r="O28" s="131"/>
      <c r="P28" s="131"/>
      <c r="Q28" s="131"/>
      <c r="R28" s="131"/>
      <c r="S28" s="146">
        <f t="shared" si="0"/>
        <v>4452578</v>
      </c>
    </row>
    <row r="29" spans="7:19" ht="20.100000000000001" customHeight="1" x14ac:dyDescent="0.25">
      <c r="G29" s="628" t="s">
        <v>526</v>
      </c>
      <c r="H29" s="139">
        <f t="shared" ref="H29:R29" si="1">IF(COUNT(H20:H28),SUM(H20:H28),"")</f>
        <v>43847715</v>
      </c>
      <c r="I29" s="139">
        <f t="shared" si="1"/>
        <v>966758</v>
      </c>
      <c r="J29" s="139">
        <f t="shared" si="1"/>
        <v>5257062</v>
      </c>
      <c r="K29" s="139">
        <f t="shared" si="1"/>
        <v>29557535</v>
      </c>
      <c r="L29" s="139">
        <f t="shared" si="1"/>
        <v>3399969</v>
      </c>
      <c r="M29" s="139">
        <f t="shared" si="1"/>
        <v>2803262</v>
      </c>
      <c r="N29" s="139">
        <f t="shared" si="1"/>
        <v>3962034</v>
      </c>
      <c r="O29" s="139" t="str">
        <f t="shared" si="1"/>
        <v/>
      </c>
      <c r="P29" s="139" t="str">
        <f t="shared" si="1"/>
        <v/>
      </c>
      <c r="Q29" s="139" t="str">
        <f t="shared" si="1"/>
        <v/>
      </c>
      <c r="R29" s="139" t="str">
        <f t="shared" si="1"/>
        <v/>
      </c>
      <c r="S29" s="139">
        <f t="shared" si="0"/>
        <v>89794335</v>
      </c>
    </row>
    <row r="30" spans="7:19" ht="20.100000000000001" customHeight="1" x14ac:dyDescent="0.25">
      <c r="G30" s="629" t="s">
        <v>22</v>
      </c>
      <c r="H30" s="695"/>
      <c r="I30" s="696"/>
      <c r="J30" s="696"/>
      <c r="K30" s="696"/>
      <c r="L30" s="696"/>
      <c r="M30" s="696"/>
      <c r="N30" s="696"/>
      <c r="O30" s="696"/>
      <c r="P30" s="696"/>
      <c r="Q30" s="696"/>
      <c r="R30" s="696"/>
      <c r="S30" s="697"/>
    </row>
    <row r="31" spans="7:19" x14ac:dyDescent="0.25">
      <c r="G31" s="630" t="s">
        <v>908</v>
      </c>
      <c r="H31" s="123">
        <v>994356</v>
      </c>
      <c r="I31" s="123">
        <v>37908</v>
      </c>
      <c r="J31" s="123">
        <v>127906</v>
      </c>
      <c r="K31" s="123">
        <v>534562</v>
      </c>
      <c r="L31" s="123">
        <v>670852</v>
      </c>
      <c r="M31" s="123">
        <v>48055</v>
      </c>
      <c r="N31" s="123">
        <v>2324839</v>
      </c>
      <c r="O31" s="123"/>
      <c r="P31" s="123"/>
      <c r="Q31" s="123"/>
      <c r="R31" s="123"/>
      <c r="S31" s="122">
        <f t="shared" si="0"/>
        <v>4738478</v>
      </c>
    </row>
    <row r="32" spans="7:19" x14ac:dyDescent="0.25">
      <c r="G32" s="630" t="s">
        <v>23</v>
      </c>
      <c r="H32" s="123">
        <v>771778</v>
      </c>
      <c r="I32" s="123">
        <v>0</v>
      </c>
      <c r="J32" s="123">
        <v>0</v>
      </c>
      <c r="K32" s="123">
        <v>0</v>
      </c>
      <c r="L32" s="123">
        <v>0</v>
      </c>
      <c r="M32" s="123">
        <v>29157</v>
      </c>
      <c r="N32" s="123">
        <v>0</v>
      </c>
      <c r="O32" s="123"/>
      <c r="P32" s="123"/>
      <c r="Q32" s="123"/>
      <c r="R32" s="123"/>
      <c r="S32" s="122">
        <f t="shared" si="0"/>
        <v>800935</v>
      </c>
    </row>
    <row r="33" spans="7:19" ht="20.100000000000001" customHeight="1" x14ac:dyDescent="0.25">
      <c r="G33" s="628" t="s">
        <v>527</v>
      </c>
      <c r="H33" s="139">
        <f>IF(COUNT(H31:H32),SUM(H31:H32),"")</f>
        <v>1766134</v>
      </c>
      <c r="I33" s="139">
        <f t="shared" ref="I33:R33" si="2">IF(COUNT(I31:I32),SUM(I31:I32),"")</f>
        <v>37908</v>
      </c>
      <c r="J33" s="139">
        <f t="shared" si="2"/>
        <v>127906</v>
      </c>
      <c r="K33" s="139">
        <f t="shared" si="2"/>
        <v>534562</v>
      </c>
      <c r="L33" s="139">
        <f t="shared" si="2"/>
        <v>670852</v>
      </c>
      <c r="M33" s="139">
        <f t="shared" si="2"/>
        <v>77212</v>
      </c>
      <c r="N33" s="139">
        <f t="shared" si="2"/>
        <v>2324839</v>
      </c>
      <c r="O33" s="139" t="str">
        <f t="shared" si="2"/>
        <v/>
      </c>
      <c r="P33" s="139" t="str">
        <f t="shared" si="2"/>
        <v/>
      </c>
      <c r="Q33" s="139" t="str">
        <f t="shared" si="2"/>
        <v/>
      </c>
      <c r="R33" s="139" t="str">
        <f t="shared" si="2"/>
        <v/>
      </c>
      <c r="S33" s="139">
        <f t="shared" si="0"/>
        <v>5539413</v>
      </c>
    </row>
    <row r="34" spans="7:19" ht="20.100000000000001" customHeight="1" x14ac:dyDescent="0.25">
      <c r="G34" s="629" t="s">
        <v>528</v>
      </c>
      <c r="H34" s="695"/>
      <c r="I34" s="696"/>
      <c r="J34" s="696"/>
      <c r="K34" s="696"/>
      <c r="L34" s="696"/>
      <c r="M34" s="696"/>
      <c r="N34" s="696"/>
      <c r="O34" s="696"/>
      <c r="P34" s="696"/>
      <c r="Q34" s="696"/>
      <c r="R34" s="696"/>
      <c r="S34" s="697"/>
    </row>
    <row r="35" spans="7:19" x14ac:dyDescent="0.25">
      <c r="G35" s="630" t="s">
        <v>26</v>
      </c>
      <c r="H35" s="123">
        <v>505159</v>
      </c>
      <c r="I35" s="123">
        <v>0</v>
      </c>
      <c r="J35" s="123">
        <v>0</v>
      </c>
      <c r="K35" s="123">
        <v>0</v>
      </c>
      <c r="L35" s="123">
        <v>0</v>
      </c>
      <c r="M35" s="123">
        <v>0</v>
      </c>
      <c r="N35" s="123">
        <v>235972</v>
      </c>
      <c r="O35" s="123"/>
      <c r="P35" s="123"/>
      <c r="Q35" s="123"/>
      <c r="R35" s="123"/>
      <c r="S35" s="122">
        <f t="shared" si="0"/>
        <v>741131</v>
      </c>
    </row>
    <row r="36" spans="7:19" x14ac:dyDescent="0.25">
      <c r="G36" s="630" t="s">
        <v>27</v>
      </c>
      <c r="H36" s="123">
        <v>24784</v>
      </c>
      <c r="I36" s="123">
        <v>0</v>
      </c>
      <c r="J36" s="123">
        <v>0</v>
      </c>
      <c r="K36" s="123">
        <v>0</v>
      </c>
      <c r="L36" s="123">
        <v>0</v>
      </c>
      <c r="M36" s="123">
        <v>0</v>
      </c>
      <c r="N36" s="123">
        <v>902804</v>
      </c>
      <c r="O36" s="123"/>
      <c r="P36" s="123"/>
      <c r="Q36" s="123"/>
      <c r="R36" s="123"/>
      <c r="S36" s="122">
        <f t="shared" si="0"/>
        <v>927588</v>
      </c>
    </row>
    <row r="37" spans="7:19" x14ac:dyDescent="0.25">
      <c r="G37" s="630" t="s">
        <v>28</v>
      </c>
      <c r="H37" s="123">
        <v>98202</v>
      </c>
      <c r="I37" s="123">
        <v>0</v>
      </c>
      <c r="J37" s="123">
        <v>0</v>
      </c>
      <c r="K37" s="123">
        <v>0</v>
      </c>
      <c r="L37" s="123">
        <v>0</v>
      </c>
      <c r="M37" s="123">
        <v>76914</v>
      </c>
      <c r="N37" s="123">
        <v>9165</v>
      </c>
      <c r="O37" s="123"/>
      <c r="P37" s="123"/>
      <c r="Q37" s="123"/>
      <c r="R37" s="123"/>
      <c r="S37" s="122">
        <f t="shared" si="0"/>
        <v>184281</v>
      </c>
    </row>
    <row r="38" spans="7:19" x14ac:dyDescent="0.25">
      <c r="G38" s="630" t="s">
        <v>529</v>
      </c>
      <c r="H38" s="123">
        <v>13389</v>
      </c>
      <c r="I38" s="123">
        <v>0</v>
      </c>
      <c r="J38" s="123">
        <v>0</v>
      </c>
      <c r="K38" s="123">
        <v>0</v>
      </c>
      <c r="L38" s="123">
        <v>0</v>
      </c>
      <c r="M38" s="123">
        <v>0</v>
      </c>
      <c r="N38" s="123">
        <v>0</v>
      </c>
      <c r="O38" s="123"/>
      <c r="P38" s="123"/>
      <c r="Q38" s="123"/>
      <c r="R38" s="123"/>
      <c r="S38" s="122">
        <f t="shared" si="0"/>
        <v>13389</v>
      </c>
    </row>
    <row r="39" spans="7:19" x14ac:dyDescent="0.25">
      <c r="G39" s="630" t="s">
        <v>564</v>
      </c>
      <c r="H39" s="123">
        <v>366099</v>
      </c>
      <c r="I39" s="123">
        <v>0</v>
      </c>
      <c r="J39" s="123">
        <v>0</v>
      </c>
      <c r="K39" s="123">
        <v>0</v>
      </c>
      <c r="L39" s="123">
        <v>0</v>
      </c>
      <c r="M39" s="123">
        <v>281214</v>
      </c>
      <c r="N39" s="123">
        <v>763508</v>
      </c>
      <c r="O39" s="123"/>
      <c r="P39" s="123"/>
      <c r="Q39" s="123"/>
      <c r="R39" s="123"/>
      <c r="S39" s="122">
        <f t="shared" si="0"/>
        <v>1410821</v>
      </c>
    </row>
    <row r="40" spans="7:19" ht="20.100000000000001" customHeight="1" x14ac:dyDescent="0.25">
      <c r="G40" s="628" t="s">
        <v>530</v>
      </c>
      <c r="H40" s="139">
        <f>IF(COUNT(H35:H39),SUM(H35:H39),"")</f>
        <v>1007633</v>
      </c>
      <c r="I40" s="139">
        <f t="shared" ref="I40:R40" si="3">IF(COUNT(I35:I39),SUM(I35:I39),"")</f>
        <v>0</v>
      </c>
      <c r="J40" s="139">
        <f t="shared" si="3"/>
        <v>0</v>
      </c>
      <c r="K40" s="139">
        <f t="shared" si="3"/>
        <v>0</v>
      </c>
      <c r="L40" s="139">
        <f t="shared" si="3"/>
        <v>0</v>
      </c>
      <c r="M40" s="139">
        <f t="shared" si="3"/>
        <v>358128</v>
      </c>
      <c r="N40" s="139">
        <f t="shared" si="3"/>
        <v>1911449</v>
      </c>
      <c r="O40" s="139" t="str">
        <f t="shared" si="3"/>
        <v/>
      </c>
      <c r="P40" s="139" t="str">
        <f t="shared" si="3"/>
        <v/>
      </c>
      <c r="Q40" s="139" t="str">
        <f t="shared" si="3"/>
        <v/>
      </c>
      <c r="R40" s="139" t="str">
        <f t="shared" si="3"/>
        <v/>
      </c>
      <c r="S40" s="139">
        <f t="shared" si="0"/>
        <v>3277210</v>
      </c>
    </row>
    <row r="41" spans="7:19" ht="20.100000000000001" customHeight="1" x14ac:dyDescent="0.25">
      <c r="G41" s="628" t="s">
        <v>531</v>
      </c>
      <c r="H41" s="139">
        <f t="shared" ref="H41:R41" si="4">IF(COUNT(H13:H18,H29,H33,H40),SUM(H13:H18,H29,H33,H40),"")</f>
        <v>223596710</v>
      </c>
      <c r="I41" s="139">
        <f t="shared" si="4"/>
        <v>1004666</v>
      </c>
      <c r="J41" s="139">
        <f t="shared" si="4"/>
        <v>5384968</v>
      </c>
      <c r="K41" s="139">
        <f t="shared" si="4"/>
        <v>30092097</v>
      </c>
      <c r="L41" s="139">
        <f t="shared" si="4"/>
        <v>4070821</v>
      </c>
      <c r="M41" s="139">
        <f t="shared" si="4"/>
        <v>3238602</v>
      </c>
      <c r="N41" s="139">
        <f t="shared" si="4"/>
        <v>29009609</v>
      </c>
      <c r="O41" s="139" t="str">
        <f t="shared" si="4"/>
        <v/>
      </c>
      <c r="P41" s="139" t="str">
        <f t="shared" si="4"/>
        <v/>
      </c>
      <c r="Q41" s="139" t="str">
        <f t="shared" si="4"/>
        <v/>
      </c>
      <c r="R41" s="139" t="str">
        <f t="shared" si="4"/>
        <v/>
      </c>
      <c r="S41" s="139">
        <f t="shared" si="0"/>
        <v>296397473</v>
      </c>
    </row>
    <row r="42" spans="7:19" ht="20.100000000000001" customHeight="1" x14ac:dyDescent="0.25">
      <c r="G42" s="625" t="s">
        <v>32</v>
      </c>
      <c r="H42" s="673"/>
      <c r="I42" s="674"/>
      <c r="J42" s="674"/>
      <c r="K42" s="674"/>
      <c r="L42" s="674"/>
      <c r="M42" s="674"/>
      <c r="N42" s="674"/>
      <c r="O42" s="674"/>
      <c r="P42" s="674"/>
      <c r="Q42" s="674"/>
      <c r="R42" s="674"/>
      <c r="S42" s="675"/>
    </row>
    <row r="43" spans="7:19" ht="20.100000000000001" customHeight="1" x14ac:dyDescent="0.25">
      <c r="G43" s="627" t="s">
        <v>532</v>
      </c>
      <c r="H43" s="673"/>
      <c r="I43" s="674"/>
      <c r="J43" s="674"/>
      <c r="K43" s="674"/>
      <c r="L43" s="674"/>
      <c r="M43" s="674"/>
      <c r="N43" s="674"/>
      <c r="O43" s="674"/>
      <c r="P43" s="674"/>
      <c r="Q43" s="674"/>
      <c r="R43" s="674"/>
      <c r="S43" s="675"/>
    </row>
    <row r="44" spans="7:19" x14ac:dyDescent="0.25">
      <c r="G44" s="631" t="s">
        <v>533</v>
      </c>
      <c r="H44" s="124">
        <v>23212713</v>
      </c>
      <c r="I44" s="124">
        <v>0</v>
      </c>
      <c r="J44" s="124">
        <v>0</v>
      </c>
      <c r="K44" s="124">
        <v>0</v>
      </c>
      <c r="L44" s="124">
        <v>0</v>
      </c>
      <c r="M44" s="124">
        <v>0</v>
      </c>
      <c r="N44" s="124">
        <v>55384</v>
      </c>
      <c r="O44" s="124"/>
      <c r="P44" s="124"/>
      <c r="Q44" s="124"/>
      <c r="R44" s="124"/>
      <c r="S44" s="142">
        <f>IF(COUNT(H44:R44),SUM(H44:R44),"")</f>
        <v>23268097</v>
      </c>
    </row>
    <row r="45" spans="7:19" x14ac:dyDescent="0.25">
      <c r="G45" s="632" t="s">
        <v>370</v>
      </c>
      <c r="H45" s="123">
        <v>12232240</v>
      </c>
      <c r="I45" s="123">
        <v>0</v>
      </c>
      <c r="J45" s="123">
        <v>0</v>
      </c>
      <c r="K45" s="123">
        <v>0</v>
      </c>
      <c r="L45" s="123">
        <v>0</v>
      </c>
      <c r="M45" s="123">
        <v>127</v>
      </c>
      <c r="N45" s="123">
        <v>5152503</v>
      </c>
      <c r="O45" s="123"/>
      <c r="P45" s="123"/>
      <c r="Q45" s="123"/>
      <c r="R45" s="123"/>
      <c r="S45" s="122">
        <f>IF(COUNT(H45:R45),SUM(H45:R45),"")</f>
        <v>17384870</v>
      </c>
    </row>
    <row r="46" spans="7:19" x14ac:dyDescent="0.25">
      <c r="G46" s="632" t="s">
        <v>215</v>
      </c>
      <c r="H46" s="123">
        <v>11033049</v>
      </c>
      <c r="I46" s="123">
        <v>0</v>
      </c>
      <c r="J46" s="123">
        <v>0</v>
      </c>
      <c r="K46" s="123">
        <v>0</v>
      </c>
      <c r="L46" s="123">
        <v>0</v>
      </c>
      <c r="M46" s="123">
        <v>2453</v>
      </c>
      <c r="N46" s="123">
        <v>1020</v>
      </c>
      <c r="O46" s="123"/>
      <c r="P46" s="123"/>
      <c r="Q46" s="123"/>
      <c r="R46" s="123"/>
      <c r="S46" s="122">
        <f>IF(COUNT(H46:R46),SUM(H46:R46),"")</f>
        <v>11036522</v>
      </c>
    </row>
    <row r="47" spans="7:19" ht="20.100000000000001" customHeight="1" x14ac:dyDescent="0.25">
      <c r="G47" s="633" t="s">
        <v>153</v>
      </c>
      <c r="H47" s="673"/>
      <c r="I47" s="674"/>
      <c r="J47" s="674"/>
      <c r="K47" s="674"/>
      <c r="L47" s="674"/>
      <c r="M47" s="674"/>
      <c r="N47" s="674"/>
      <c r="O47" s="674"/>
      <c r="P47" s="674"/>
      <c r="Q47" s="674"/>
      <c r="R47" s="674"/>
      <c r="S47" s="675"/>
    </row>
    <row r="48" spans="7:19" x14ac:dyDescent="0.25">
      <c r="G48" s="631" t="s">
        <v>37</v>
      </c>
      <c r="H48" s="145">
        <v>105094602</v>
      </c>
      <c r="I48" s="123">
        <v>0</v>
      </c>
      <c r="J48" s="123">
        <v>0</v>
      </c>
      <c r="K48" s="145">
        <v>0</v>
      </c>
      <c r="L48" s="145">
        <v>0</v>
      </c>
      <c r="M48" s="145">
        <v>0</v>
      </c>
      <c r="N48" s="145">
        <v>434291</v>
      </c>
      <c r="O48" s="145"/>
      <c r="P48" s="145"/>
      <c r="Q48" s="145"/>
      <c r="R48" s="145"/>
      <c r="S48" s="144">
        <f>IF(COUNT(H48:R48),SUM(H48:R48),"")</f>
        <v>105528893</v>
      </c>
    </row>
    <row r="49" spans="7:19" x14ac:dyDescent="0.25">
      <c r="G49" s="632" t="s">
        <v>38</v>
      </c>
      <c r="H49" s="145">
        <v>31838391</v>
      </c>
      <c r="I49" s="145">
        <v>0</v>
      </c>
      <c r="J49" s="145">
        <v>0</v>
      </c>
      <c r="K49" s="145">
        <v>0</v>
      </c>
      <c r="L49" s="145">
        <v>0</v>
      </c>
      <c r="M49" s="145">
        <v>0</v>
      </c>
      <c r="N49" s="145">
        <v>12485077</v>
      </c>
      <c r="O49" s="145"/>
      <c r="P49" s="145"/>
      <c r="Q49" s="145"/>
      <c r="R49" s="145"/>
      <c r="S49" s="144">
        <f>IF(COUNT(H49:R49),SUM(H49:R49),"")</f>
        <v>44323468</v>
      </c>
    </row>
    <row r="50" spans="7:19" ht="20.100000000000001" customHeight="1" x14ac:dyDescent="0.25">
      <c r="G50" s="628" t="s">
        <v>534</v>
      </c>
      <c r="H50" s="139">
        <f>IF(COUNT(H48:H49),SUM(H48:H49),"")</f>
        <v>136932993</v>
      </c>
      <c r="I50" s="139">
        <f t="shared" ref="I50:N50" si="5">IF(COUNT(I48:I49),SUM(I48:I49),"")</f>
        <v>0</v>
      </c>
      <c r="J50" s="139">
        <f t="shared" si="5"/>
        <v>0</v>
      </c>
      <c r="K50" s="139">
        <f t="shared" si="5"/>
        <v>0</v>
      </c>
      <c r="L50" s="139">
        <f t="shared" si="5"/>
        <v>0</v>
      </c>
      <c r="M50" s="139">
        <f t="shared" si="5"/>
        <v>0</v>
      </c>
      <c r="N50" s="139">
        <f t="shared" si="5"/>
        <v>12919368</v>
      </c>
      <c r="O50" s="139"/>
      <c r="P50" s="139"/>
      <c r="Q50" s="139"/>
      <c r="R50" s="139"/>
      <c r="S50" s="139">
        <f>IF(COUNT(H50:R50),SUM(H50:R50),"")</f>
        <v>149852361</v>
      </c>
    </row>
    <row r="51" spans="7:19" x14ac:dyDescent="0.25">
      <c r="G51" s="634" t="s">
        <v>371</v>
      </c>
      <c r="H51" s="145">
        <v>43399999</v>
      </c>
      <c r="I51" s="145">
        <v>0</v>
      </c>
      <c r="J51" s="145">
        <v>0</v>
      </c>
      <c r="K51" s="145">
        <v>0</v>
      </c>
      <c r="L51" s="145">
        <v>0</v>
      </c>
      <c r="M51" s="145">
        <v>2694070</v>
      </c>
      <c r="N51" s="145">
        <v>2304738</v>
      </c>
      <c r="O51" s="145"/>
      <c r="P51" s="145"/>
      <c r="Q51" s="145"/>
      <c r="R51" s="145"/>
      <c r="S51" s="144">
        <f>IF(COUNT(H51:R51),SUM(H51:R51),"")</f>
        <v>48398807</v>
      </c>
    </row>
    <row r="52" spans="7:19" ht="20.100000000000001" customHeight="1" x14ac:dyDescent="0.25">
      <c r="G52" s="628" t="s">
        <v>535</v>
      </c>
      <c r="H52" s="139">
        <f>IF(COUNT(H44:H46,H50,H51),SUM(H44:H46,H50:H51),"")</f>
        <v>226810994</v>
      </c>
      <c r="I52" s="139">
        <f t="shared" ref="I52:S52" si="6">IF(COUNT(I44:I46,I50,I51),SUM(I44:I46,I50:I51),"")</f>
        <v>0</v>
      </c>
      <c r="J52" s="139">
        <f t="shared" si="6"/>
        <v>0</v>
      </c>
      <c r="K52" s="139">
        <f t="shared" si="6"/>
        <v>0</v>
      </c>
      <c r="L52" s="139">
        <f t="shared" si="6"/>
        <v>0</v>
      </c>
      <c r="M52" s="139">
        <f t="shared" si="6"/>
        <v>2696650</v>
      </c>
      <c r="N52" s="139">
        <f t="shared" si="6"/>
        <v>20433013</v>
      </c>
      <c r="O52" s="139" t="str">
        <f t="shared" si="6"/>
        <v/>
      </c>
      <c r="P52" s="139" t="str">
        <f t="shared" si="6"/>
        <v/>
      </c>
      <c r="Q52" s="139" t="str">
        <f t="shared" si="6"/>
        <v/>
      </c>
      <c r="R52" s="139" t="str">
        <f t="shared" si="6"/>
        <v/>
      </c>
      <c r="S52" s="139">
        <f t="shared" si="6"/>
        <v>249940657</v>
      </c>
    </row>
    <row r="53" spans="7:19" ht="20.100000000000001" customHeight="1" x14ac:dyDescent="0.25">
      <c r="G53" s="627" t="s">
        <v>214</v>
      </c>
      <c r="H53" s="673"/>
      <c r="I53" s="674"/>
      <c r="J53" s="674"/>
      <c r="K53" s="674"/>
      <c r="L53" s="674"/>
      <c r="M53" s="674"/>
      <c r="N53" s="674"/>
      <c r="O53" s="674"/>
      <c r="P53" s="674"/>
      <c r="Q53" s="674"/>
      <c r="R53" s="674"/>
      <c r="S53" s="675"/>
    </row>
    <row r="54" spans="7:19" x14ac:dyDescent="0.25">
      <c r="G54" s="631" t="s">
        <v>565</v>
      </c>
      <c r="H54" s="124">
        <v>0</v>
      </c>
      <c r="I54" s="124">
        <v>0</v>
      </c>
      <c r="J54" s="124">
        <v>0</v>
      </c>
      <c r="K54" s="124">
        <v>0</v>
      </c>
      <c r="L54" s="124">
        <v>0</v>
      </c>
      <c r="M54" s="124">
        <v>0</v>
      </c>
      <c r="N54" s="124">
        <v>5242000</v>
      </c>
      <c r="O54" s="124"/>
      <c r="P54" s="124"/>
      <c r="Q54" s="124"/>
      <c r="R54" s="124"/>
      <c r="S54" s="142">
        <f>IF(COUNT(H54:R54),SUM(H54:R54),"")</f>
        <v>5242000</v>
      </c>
    </row>
    <row r="55" spans="7:19" x14ac:dyDescent="0.25">
      <c r="G55" s="635" t="s">
        <v>566</v>
      </c>
      <c r="H55" s="154">
        <v>0</v>
      </c>
      <c r="I55" s="154">
        <v>0</v>
      </c>
      <c r="J55" s="154">
        <v>0</v>
      </c>
      <c r="K55" s="154">
        <v>0</v>
      </c>
      <c r="L55" s="154">
        <v>0</v>
      </c>
      <c r="M55" s="154">
        <v>0</v>
      </c>
      <c r="N55" s="154">
        <v>2692537</v>
      </c>
      <c r="O55" s="154"/>
      <c r="P55" s="154"/>
      <c r="Q55" s="154"/>
      <c r="R55" s="154"/>
      <c r="S55" s="153">
        <f>IF(COUNT(H55:R55),SUM(H55:R55),"")</f>
        <v>2692537</v>
      </c>
    </row>
    <row r="56" spans="7:19" x14ac:dyDescent="0.25">
      <c r="G56" s="636" t="s">
        <v>567</v>
      </c>
      <c r="H56" s="141">
        <v>0</v>
      </c>
      <c r="I56" s="141">
        <v>0</v>
      </c>
      <c r="J56" s="141">
        <v>0</v>
      </c>
      <c r="K56" s="141">
        <v>0</v>
      </c>
      <c r="L56" s="141">
        <v>0</v>
      </c>
      <c r="M56" s="141">
        <v>0</v>
      </c>
      <c r="N56" s="141">
        <v>148888</v>
      </c>
      <c r="O56" s="141"/>
      <c r="P56" s="141"/>
      <c r="Q56" s="141"/>
      <c r="R56" s="141"/>
      <c r="S56" s="140">
        <f>IF(COUNT(H56:R56),SUM(H56:R56),"")</f>
        <v>148888</v>
      </c>
    </row>
    <row r="57" spans="7:19" ht="20.100000000000001" customHeight="1" x14ac:dyDescent="0.25">
      <c r="G57" s="637" t="s">
        <v>155</v>
      </c>
      <c r="H57" s="139">
        <f>IF(COUNT(H54:H56),SUM(H54:H56),"")</f>
        <v>0</v>
      </c>
      <c r="I57" s="139">
        <f t="shared" ref="I57:R57" si="7">IF(COUNT(I54:I56),SUM(I54:I56),"")</f>
        <v>0</v>
      </c>
      <c r="J57" s="139">
        <f t="shared" si="7"/>
        <v>0</v>
      </c>
      <c r="K57" s="139">
        <f t="shared" si="7"/>
        <v>0</v>
      </c>
      <c r="L57" s="139">
        <f t="shared" si="7"/>
        <v>0</v>
      </c>
      <c r="M57" s="139">
        <f t="shared" si="7"/>
        <v>0</v>
      </c>
      <c r="N57" s="139">
        <f t="shared" si="7"/>
        <v>8083425</v>
      </c>
      <c r="O57" s="139" t="str">
        <f t="shared" si="7"/>
        <v/>
      </c>
      <c r="P57" s="139" t="str">
        <f t="shared" si="7"/>
        <v/>
      </c>
      <c r="Q57" s="139" t="str">
        <f t="shared" si="7"/>
        <v/>
      </c>
      <c r="R57" s="139" t="str">
        <f t="shared" si="7"/>
        <v/>
      </c>
      <c r="S57" s="139">
        <f>IF(COUNT(H57:R57),SUM(H57:R57),"")</f>
        <v>8083425</v>
      </c>
    </row>
    <row r="58" spans="7:19" x14ac:dyDescent="0.25">
      <c r="G58" s="636" t="s">
        <v>536</v>
      </c>
      <c r="H58" s="154">
        <v>2298859</v>
      </c>
      <c r="I58" s="154">
        <v>0</v>
      </c>
      <c r="J58" s="154">
        <v>0</v>
      </c>
      <c r="K58" s="154">
        <v>26751980</v>
      </c>
      <c r="L58" s="154">
        <v>12952100</v>
      </c>
      <c r="M58" s="154">
        <v>0</v>
      </c>
      <c r="N58" s="154">
        <v>3660816</v>
      </c>
      <c r="O58" s="152"/>
      <c r="P58" s="152"/>
      <c r="Q58" s="152"/>
      <c r="R58" s="154"/>
      <c r="S58" s="156">
        <f>IF(COUNT(H58:R58),SUM(H58:R58),"")</f>
        <v>45663755</v>
      </c>
    </row>
    <row r="59" spans="7:19" ht="20.100000000000001" customHeight="1" x14ac:dyDescent="0.25">
      <c r="G59" s="637" t="s">
        <v>42</v>
      </c>
      <c r="H59" s="139">
        <f>IF(COUNT(H52,H57,H58),SUM(H52,H57,H58),"")</f>
        <v>229109853</v>
      </c>
      <c r="I59" s="139">
        <f t="shared" ref="I59:S59" si="8">IF(COUNT(I52,I57,I58),SUM(I52,I57,I58),"")</f>
        <v>0</v>
      </c>
      <c r="J59" s="139">
        <f t="shared" si="8"/>
        <v>0</v>
      </c>
      <c r="K59" s="139">
        <f t="shared" si="8"/>
        <v>26751980</v>
      </c>
      <c r="L59" s="139">
        <f t="shared" si="8"/>
        <v>12952100</v>
      </c>
      <c r="M59" s="139">
        <f t="shared" si="8"/>
        <v>2696650</v>
      </c>
      <c r="N59" s="139">
        <f t="shared" si="8"/>
        <v>32177254</v>
      </c>
      <c r="O59" s="139" t="str">
        <f t="shared" si="8"/>
        <v/>
      </c>
      <c r="P59" s="139" t="str">
        <f t="shared" si="8"/>
        <v/>
      </c>
      <c r="Q59" s="139" t="str">
        <f t="shared" si="8"/>
        <v/>
      </c>
      <c r="R59" s="139" t="str">
        <f t="shared" si="8"/>
        <v/>
      </c>
      <c r="S59" s="139">
        <f t="shared" si="8"/>
        <v>303687837</v>
      </c>
    </row>
    <row r="60" spans="7:19" ht="30" x14ac:dyDescent="0.25">
      <c r="G60" s="638" t="s">
        <v>537</v>
      </c>
      <c r="H60" s="139">
        <f>IF(COUNT(H41,H59),SUM(H41)-SUM(H59),"")</f>
        <v>-5513143</v>
      </c>
      <c r="I60" s="139">
        <f t="shared" ref="I60:S60" si="9">IF(COUNT(I41,I59),SUM(I41)-SUM(I59),"")</f>
        <v>1004666</v>
      </c>
      <c r="J60" s="139">
        <f t="shared" si="9"/>
        <v>5384968</v>
      </c>
      <c r="K60" s="139">
        <f t="shared" si="9"/>
        <v>3340117</v>
      </c>
      <c r="L60" s="139">
        <f t="shared" si="9"/>
        <v>-8881279</v>
      </c>
      <c r="M60" s="139">
        <f t="shared" si="9"/>
        <v>541952</v>
      </c>
      <c r="N60" s="139">
        <f t="shared" si="9"/>
        <v>-3167645</v>
      </c>
      <c r="O60" s="139" t="str">
        <f t="shared" si="9"/>
        <v/>
      </c>
      <c r="P60" s="139" t="str">
        <f t="shared" si="9"/>
        <v/>
      </c>
      <c r="Q60" s="139" t="str">
        <f t="shared" si="9"/>
        <v/>
      </c>
      <c r="R60" s="139" t="str">
        <f t="shared" si="9"/>
        <v/>
      </c>
      <c r="S60" s="139">
        <f t="shared" si="9"/>
        <v>-7290364</v>
      </c>
    </row>
    <row r="61" spans="7:19" ht="20.100000000000001" customHeight="1" x14ac:dyDescent="0.25">
      <c r="G61" s="625" t="s">
        <v>286</v>
      </c>
      <c r="H61" s="673"/>
      <c r="I61" s="674"/>
      <c r="J61" s="674"/>
      <c r="K61" s="674"/>
      <c r="L61" s="674"/>
      <c r="M61" s="674"/>
      <c r="N61" s="674"/>
      <c r="O61" s="674"/>
      <c r="P61" s="674"/>
      <c r="Q61" s="674"/>
      <c r="R61" s="674"/>
      <c r="S61" s="675"/>
    </row>
    <row r="62" spans="7:19" x14ac:dyDescent="0.25">
      <c r="G62" s="630" t="s">
        <v>285</v>
      </c>
      <c r="H62" s="123">
        <v>18560975</v>
      </c>
      <c r="I62" s="123">
        <v>1302555</v>
      </c>
      <c r="J62" s="123">
        <v>7434899</v>
      </c>
      <c r="K62" s="123">
        <v>457900</v>
      </c>
      <c r="L62" s="123">
        <v>54210055</v>
      </c>
      <c r="M62" s="123">
        <v>0</v>
      </c>
      <c r="N62" s="123">
        <v>9299720</v>
      </c>
      <c r="O62" s="123"/>
      <c r="P62" s="123"/>
      <c r="Q62" s="123"/>
      <c r="R62" s="123"/>
      <c r="S62" s="123">
        <f t="shared" ref="S62:S68" si="10">IF(COUNT(H62:R62),SUM(H62:R62),"")</f>
        <v>91266104</v>
      </c>
    </row>
    <row r="63" spans="7:19" x14ac:dyDescent="0.25">
      <c r="G63" s="630" t="s">
        <v>284</v>
      </c>
      <c r="H63" s="123">
        <v>11160954</v>
      </c>
      <c r="I63" s="123">
        <v>2219202</v>
      </c>
      <c r="J63" s="123">
        <v>5988906</v>
      </c>
      <c r="K63" s="123">
        <v>1163229</v>
      </c>
      <c r="L63" s="123">
        <v>205381</v>
      </c>
      <c r="M63" s="123">
        <v>303460</v>
      </c>
      <c r="N63" s="123">
        <v>51646237</v>
      </c>
      <c r="O63" s="123"/>
      <c r="P63" s="123"/>
      <c r="Q63" s="123"/>
      <c r="R63" s="123"/>
      <c r="S63" s="122">
        <f t="shared" si="10"/>
        <v>72687369</v>
      </c>
    </row>
    <row r="64" spans="7:19" x14ac:dyDescent="0.25">
      <c r="G64" s="639" t="s">
        <v>538</v>
      </c>
      <c r="H64" s="141">
        <v>0</v>
      </c>
      <c r="I64" s="141">
        <v>0</v>
      </c>
      <c r="J64" s="141">
        <v>0</v>
      </c>
      <c r="K64" s="141">
        <v>0</v>
      </c>
      <c r="L64" s="141">
        <v>0</v>
      </c>
      <c r="M64" s="141">
        <v>0</v>
      </c>
      <c r="N64" s="141">
        <v>55180000</v>
      </c>
      <c r="O64" s="141"/>
      <c r="P64" s="141"/>
      <c r="Q64" s="141"/>
      <c r="R64" s="141"/>
      <c r="S64" s="140">
        <f t="shared" si="10"/>
        <v>55180000</v>
      </c>
    </row>
    <row r="65" spans="7:19" ht="33" customHeight="1" x14ac:dyDescent="0.25">
      <c r="G65" s="638" t="s">
        <v>568</v>
      </c>
      <c r="H65" s="139">
        <f>IF(COUNT(H62:H64),SUM(H62,H64)-SUM(H63),"")</f>
        <v>7400021</v>
      </c>
      <c r="I65" s="139">
        <f t="shared" ref="I65:S65" si="11">IF(COUNT(I62:I64),SUM(I62,I64)-SUM(I63),"")</f>
        <v>-916647</v>
      </c>
      <c r="J65" s="139">
        <f t="shared" si="11"/>
        <v>1445993</v>
      </c>
      <c r="K65" s="139">
        <f t="shared" si="11"/>
        <v>-705329</v>
      </c>
      <c r="L65" s="139">
        <f t="shared" si="11"/>
        <v>54004674</v>
      </c>
      <c r="M65" s="139">
        <f t="shared" si="11"/>
        <v>-303460</v>
      </c>
      <c r="N65" s="139">
        <f t="shared" si="11"/>
        <v>12833483</v>
      </c>
      <c r="O65" s="139" t="str">
        <f t="shared" si="11"/>
        <v/>
      </c>
      <c r="P65" s="139" t="str">
        <f t="shared" si="11"/>
        <v/>
      </c>
      <c r="Q65" s="139" t="str">
        <f t="shared" si="11"/>
        <v/>
      </c>
      <c r="R65" s="139" t="str">
        <f t="shared" si="11"/>
        <v/>
      </c>
      <c r="S65" s="139">
        <f t="shared" si="11"/>
        <v>73758735</v>
      </c>
    </row>
    <row r="66" spans="7:19" ht="48" customHeight="1" x14ac:dyDescent="0.25">
      <c r="G66" s="640" t="s">
        <v>569</v>
      </c>
      <c r="H66" s="139">
        <f>IF(COUNT(H65,H60),SUM(H60,H65),"")</f>
        <v>1886878</v>
      </c>
      <c r="I66" s="139">
        <f t="shared" ref="I66:R66" si="12">IF(COUNT(I65,I60),SUM(I60,I65),"")</f>
        <v>88019</v>
      </c>
      <c r="J66" s="139">
        <f t="shared" si="12"/>
        <v>6830961</v>
      </c>
      <c r="K66" s="139">
        <f t="shared" si="12"/>
        <v>2634788</v>
      </c>
      <c r="L66" s="139">
        <f t="shared" si="12"/>
        <v>45123395</v>
      </c>
      <c r="M66" s="139">
        <f t="shared" si="12"/>
        <v>238492</v>
      </c>
      <c r="N66" s="139">
        <f t="shared" si="12"/>
        <v>9665838</v>
      </c>
      <c r="O66" s="139" t="str">
        <f t="shared" si="12"/>
        <v/>
      </c>
      <c r="P66" s="139" t="str">
        <f t="shared" si="12"/>
        <v/>
      </c>
      <c r="Q66" s="139" t="str">
        <f t="shared" si="12"/>
        <v/>
      </c>
      <c r="R66" s="139" t="str">
        <f t="shared" si="12"/>
        <v/>
      </c>
      <c r="S66" s="139">
        <f t="shared" si="10"/>
        <v>66468371</v>
      </c>
    </row>
    <row r="67" spans="7:19" x14ac:dyDescent="0.25">
      <c r="G67" s="641" t="s">
        <v>539</v>
      </c>
      <c r="H67" s="400">
        <v>62414658</v>
      </c>
      <c r="I67" s="400">
        <v>4740449</v>
      </c>
      <c r="J67" s="400">
        <v>15524365</v>
      </c>
      <c r="K67" s="400">
        <v>63397527</v>
      </c>
      <c r="L67" s="400">
        <v>64728386</v>
      </c>
      <c r="M67" s="400">
        <v>1475614</v>
      </c>
      <c r="N67" s="400">
        <v>53110970</v>
      </c>
      <c r="O67" s="400"/>
      <c r="P67" s="400"/>
      <c r="Q67" s="400"/>
      <c r="R67" s="400"/>
      <c r="S67" s="401">
        <f t="shared" si="10"/>
        <v>265391969</v>
      </c>
    </row>
    <row r="68" spans="7:19" ht="20.100000000000001" customHeight="1" x14ac:dyDescent="0.25">
      <c r="G68" s="640" t="s">
        <v>540</v>
      </c>
      <c r="H68" s="151">
        <f>IF(COUNT(H66:H67),SUM(H66:H67),"")</f>
        <v>64301536</v>
      </c>
      <c r="I68" s="151">
        <f t="shared" ref="I68:R68" si="13">IF(COUNT(I66:I67),SUM(I66:I67),"")</f>
        <v>4828468</v>
      </c>
      <c r="J68" s="151">
        <f t="shared" si="13"/>
        <v>22355326</v>
      </c>
      <c r="K68" s="151">
        <f t="shared" si="13"/>
        <v>66032315</v>
      </c>
      <c r="L68" s="151">
        <f t="shared" si="13"/>
        <v>109851781</v>
      </c>
      <c r="M68" s="151">
        <f t="shared" si="13"/>
        <v>1714106</v>
      </c>
      <c r="N68" s="151">
        <f t="shared" si="13"/>
        <v>62776808</v>
      </c>
      <c r="O68" s="151" t="str">
        <f t="shared" si="13"/>
        <v/>
      </c>
      <c r="P68" s="151" t="str">
        <f t="shared" si="13"/>
        <v/>
      </c>
      <c r="Q68" s="151" t="str">
        <f t="shared" si="13"/>
        <v/>
      </c>
      <c r="R68" s="151" t="str">
        <f t="shared" si="13"/>
        <v/>
      </c>
      <c r="S68" s="151">
        <f t="shared" si="10"/>
        <v>331860340</v>
      </c>
    </row>
    <row r="69" spans="7:19" x14ac:dyDescent="0.25"/>
    <row r="70" spans="7:19" hidden="1" x14ac:dyDescent="0.25"/>
    <row r="71" spans="7:19" hidden="1" x14ac:dyDescent="0.25"/>
    <row r="72" spans="7:19" hidden="1" x14ac:dyDescent="0.25"/>
    <row r="73" spans="7:19" hidden="1" x14ac:dyDescent="0.25"/>
    <row r="74" spans="7:19" hidden="1" x14ac:dyDescent="0.25"/>
    <row r="75" spans="7:19" hidden="1" x14ac:dyDescent="0.25"/>
    <row r="76" spans="7:19" hidden="1" x14ac:dyDescent="0.25"/>
    <row r="77" spans="7:19" hidden="1" x14ac:dyDescent="0.25"/>
    <row r="78" spans="7:19" hidden="1" x14ac:dyDescent="0.25"/>
    <row r="79" spans="7:19" hidden="1" x14ac:dyDescent="0.25"/>
    <row r="80" spans="7:19" hidden="1" x14ac:dyDescent="0.25"/>
    <row r="81" spans="7:19" hidden="1" x14ac:dyDescent="0.25"/>
    <row r="82" spans="7:19" hidden="1" x14ac:dyDescent="0.25">
      <c r="G82"/>
      <c r="H82"/>
      <c r="I82"/>
      <c r="J82"/>
      <c r="K82"/>
      <c r="L82"/>
      <c r="M82"/>
      <c r="N82"/>
      <c r="O82"/>
      <c r="P82"/>
      <c r="Q82"/>
      <c r="R82"/>
      <c r="S82"/>
    </row>
    <row r="83" spans="7:19" hidden="1" x14ac:dyDescent="0.25">
      <c r="G83"/>
      <c r="H83"/>
      <c r="I83"/>
      <c r="J83"/>
      <c r="K83"/>
      <c r="L83"/>
      <c r="M83"/>
      <c r="N83"/>
      <c r="O83"/>
      <c r="P83"/>
      <c r="Q83"/>
      <c r="R83"/>
      <c r="S83"/>
    </row>
    <row r="84" spans="7:19" hidden="1" x14ac:dyDescent="0.25">
      <c r="G84"/>
      <c r="H84"/>
      <c r="I84"/>
      <c r="J84"/>
      <c r="K84"/>
      <c r="L84"/>
      <c r="M84"/>
      <c r="N84"/>
      <c r="O84"/>
      <c r="P84"/>
      <c r="Q84"/>
      <c r="R84"/>
      <c r="S84"/>
    </row>
    <row r="85" spans="7:19" hidden="1" x14ac:dyDescent="0.25">
      <c r="G85"/>
      <c r="H85"/>
      <c r="I85"/>
      <c r="J85"/>
      <c r="K85"/>
      <c r="L85"/>
      <c r="M85"/>
      <c r="N85"/>
      <c r="O85"/>
      <c r="P85"/>
      <c r="Q85"/>
      <c r="R85"/>
      <c r="S85"/>
    </row>
    <row r="86" spans="7:19" hidden="1" x14ac:dyDescent="0.25">
      <c r="G86"/>
      <c r="H86"/>
      <c r="I86"/>
      <c r="J86"/>
      <c r="K86"/>
      <c r="L86"/>
      <c r="M86"/>
      <c r="N86"/>
      <c r="O86"/>
      <c r="P86"/>
      <c r="Q86"/>
      <c r="R86"/>
      <c r="S86"/>
    </row>
    <row r="87" spans="7:19" hidden="1" x14ac:dyDescent="0.25">
      <c r="G87"/>
      <c r="H87"/>
      <c r="I87"/>
      <c r="J87"/>
      <c r="K87"/>
      <c r="L87"/>
      <c r="M87"/>
      <c r="N87"/>
      <c r="O87"/>
      <c r="P87"/>
      <c r="Q87"/>
      <c r="R87"/>
      <c r="S87"/>
    </row>
    <row r="88" spans="7:19" hidden="1" x14ac:dyDescent="0.25">
      <c r="G88"/>
      <c r="H88"/>
      <c r="I88"/>
      <c r="J88"/>
      <c r="K88"/>
      <c r="L88"/>
      <c r="M88"/>
      <c r="N88"/>
      <c r="O88"/>
      <c r="P88"/>
      <c r="Q88"/>
      <c r="R88"/>
      <c r="S88"/>
    </row>
    <row r="89" spans="7:19" hidden="1" x14ac:dyDescent="0.25">
      <c r="G89"/>
      <c r="H89"/>
      <c r="I89"/>
      <c r="J89"/>
      <c r="K89"/>
      <c r="L89"/>
      <c r="M89"/>
      <c r="N89"/>
      <c r="O89"/>
      <c r="P89"/>
      <c r="Q89"/>
      <c r="R89"/>
      <c r="S89"/>
    </row>
    <row r="90" spans="7:19" hidden="1" x14ac:dyDescent="0.25">
      <c r="G90"/>
      <c r="H90"/>
      <c r="I90"/>
      <c r="J90"/>
      <c r="K90"/>
      <c r="L90"/>
      <c r="M90"/>
      <c r="N90"/>
      <c r="O90"/>
      <c r="P90"/>
      <c r="Q90"/>
      <c r="R90"/>
      <c r="S90"/>
    </row>
    <row r="91" spans="7:19" hidden="1" x14ac:dyDescent="0.25">
      <c r="G91"/>
      <c r="H91"/>
      <c r="I91"/>
      <c r="J91"/>
      <c r="K91"/>
      <c r="L91"/>
      <c r="M91"/>
      <c r="N91"/>
      <c r="O91"/>
      <c r="P91"/>
      <c r="Q91"/>
      <c r="R91"/>
      <c r="S91"/>
    </row>
    <row r="92" spans="7:19" hidden="1" x14ac:dyDescent="0.25">
      <c r="G92"/>
      <c r="H92"/>
      <c r="I92"/>
      <c r="J92"/>
      <c r="K92"/>
      <c r="L92"/>
      <c r="M92"/>
      <c r="N92"/>
      <c r="O92"/>
      <c r="P92"/>
      <c r="Q92"/>
      <c r="R92"/>
      <c r="S92"/>
    </row>
    <row r="93" spans="7:19" hidden="1" x14ac:dyDescent="0.25">
      <c r="G93"/>
      <c r="H93"/>
      <c r="I93"/>
      <c r="J93"/>
      <c r="K93"/>
      <c r="L93"/>
      <c r="M93"/>
      <c r="N93"/>
      <c r="O93"/>
      <c r="P93"/>
      <c r="Q93"/>
      <c r="R93"/>
      <c r="S93"/>
    </row>
    <row r="94" spans="7:19" hidden="1" x14ac:dyDescent="0.25">
      <c r="G94"/>
      <c r="H94"/>
      <c r="I94"/>
      <c r="J94"/>
      <c r="K94"/>
      <c r="L94"/>
      <c r="M94"/>
      <c r="N94"/>
      <c r="O94"/>
      <c r="P94"/>
      <c r="Q94"/>
      <c r="R94"/>
      <c r="S94"/>
    </row>
    <row r="95" spans="7:19" hidden="1" x14ac:dyDescent="0.25">
      <c r="G95"/>
      <c r="H95"/>
      <c r="I95"/>
      <c r="J95"/>
      <c r="K95"/>
      <c r="L95"/>
      <c r="M95"/>
      <c r="N95"/>
      <c r="O95"/>
      <c r="P95"/>
      <c r="Q95"/>
      <c r="R95"/>
      <c r="S95"/>
    </row>
    <row r="96" spans="7:19" hidden="1" x14ac:dyDescent="0.25">
      <c r="G96"/>
      <c r="H96"/>
      <c r="I96"/>
      <c r="J96"/>
      <c r="K96"/>
      <c r="L96"/>
      <c r="M96"/>
      <c r="N96"/>
      <c r="O96"/>
      <c r="P96"/>
      <c r="Q96"/>
      <c r="R96"/>
      <c r="S96"/>
    </row>
    <row r="97" spans="7:19" hidden="1" x14ac:dyDescent="0.25">
      <c r="G97"/>
      <c r="H97"/>
      <c r="I97"/>
      <c r="J97"/>
      <c r="K97"/>
      <c r="L97"/>
      <c r="M97"/>
      <c r="N97"/>
      <c r="O97"/>
      <c r="P97"/>
      <c r="Q97"/>
      <c r="R97"/>
      <c r="S97"/>
    </row>
    <row r="98" spans="7:19" hidden="1" x14ac:dyDescent="0.25">
      <c r="G98"/>
      <c r="H98"/>
      <c r="I98"/>
      <c r="J98"/>
      <c r="K98"/>
      <c r="L98"/>
      <c r="M98"/>
      <c r="N98"/>
      <c r="O98"/>
      <c r="P98"/>
      <c r="Q98"/>
      <c r="R98"/>
      <c r="S98"/>
    </row>
    <row r="99" spans="7:19" ht="15" hidden="1" customHeight="1" x14ac:dyDescent="0.25"/>
    <row r="100" spans="7:19" ht="15" hidden="1" customHeight="1" x14ac:dyDescent="0.25"/>
  </sheetData>
  <sheetProtection algorithmName="SHA-512" hashValue="AcnnOSfn9ykRNZRzzQuAYFqOqvmpnWJeLMdwLgRPDl54F0KI5R4aVqHJ2ShvFK3O9uENssljJSKLuRWLeKsB9A==" saltValue="7AvhJniNjFIAo3rA1cQK5A==" spinCount="100000" sheet="1" objects="1" scenarios="1"/>
  <mergeCells count="10">
    <mergeCell ref="H61:S61"/>
    <mergeCell ref="H30:S30"/>
    <mergeCell ref="H34:S34"/>
    <mergeCell ref="H12:S12"/>
    <mergeCell ref="H19:S19"/>
    <mergeCell ref="G10:R10"/>
    <mergeCell ref="H42:S42"/>
    <mergeCell ref="H43:S43"/>
    <mergeCell ref="H47:S47"/>
    <mergeCell ref="H53:S53"/>
  </mergeCells>
  <dataValidations disablePrompts="1" count="2">
    <dataValidation type="whole" allowBlank="1" showInputMessage="1" showErrorMessage="1" sqref="I31:S33 H13:H68 I13:S18 I20:S29 I35:S68" xr:uid="{00000000-0002-0000-0500-000000000000}">
      <formula1>-1.11111111111111E+35</formula1>
      <formula2>1.11111111111111E+38</formula2>
    </dataValidation>
    <dataValidation allowBlank="1" showInputMessage="1" showErrorMessage="1" prompt="Nature of other government fund" sqref="I11:J11 M11:R11" xr:uid="{00000000-0002-0000-0500-000001000000}"/>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C1:J68"/>
  <sheetViews>
    <sheetView showGridLines="0" topLeftCell="D9" workbookViewId="0">
      <selection activeCell="D9" sqref="D9"/>
    </sheetView>
  </sheetViews>
  <sheetFormatPr defaultColWidth="0" defaultRowHeight="15" zeroHeight="1" x14ac:dyDescent="0.25"/>
  <cols>
    <col min="1" max="3" width="9.140625" hidden="1" customWidth="1"/>
    <col min="4" max="4" width="2.7109375" customWidth="1"/>
    <col min="5" max="5" width="43.140625" customWidth="1"/>
    <col min="6" max="9" width="20.7109375" customWidth="1"/>
    <col min="10" max="10" width="2.7109375" customWidth="1"/>
    <col min="11" max="16384" width="9.140625"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37.5" hidden="1" customHeight="1" x14ac:dyDescent="0.25">
      <c r="E8" s="27"/>
    </row>
    <row r="9" spans="5:9" ht="36.950000000000003" customHeight="1" x14ac:dyDescent="0.25"/>
    <row r="10" spans="5:9" ht="20.100000000000001" customHeight="1" x14ac:dyDescent="0.25">
      <c r="E10" s="699" t="s">
        <v>0</v>
      </c>
      <c r="F10" s="700"/>
      <c r="G10" s="700"/>
      <c r="H10" s="701"/>
      <c r="I10" s="176" t="str">
        <f>TEXT(DATE('General Info'!$G$11,VALUE('General Info'!$E$11),'General Info'!$F$11),"MMMM DD, YYYY")</f>
        <v>September 30, 2017</v>
      </c>
    </row>
    <row r="11" spans="5:9" ht="30" x14ac:dyDescent="0.25">
      <c r="E11" s="1" t="s">
        <v>1</v>
      </c>
      <c r="F11" s="1" t="s">
        <v>2</v>
      </c>
      <c r="G11" s="1" t="s">
        <v>3</v>
      </c>
      <c r="H11" s="1" t="s">
        <v>4</v>
      </c>
      <c r="I11" s="1" t="s">
        <v>5</v>
      </c>
    </row>
    <row r="12" spans="5:9" ht="20.100000000000001" customHeight="1" x14ac:dyDescent="0.25">
      <c r="E12" s="2" t="s">
        <v>6</v>
      </c>
      <c r="F12" s="698"/>
      <c r="G12" s="698"/>
      <c r="H12" s="698"/>
      <c r="I12" s="698"/>
    </row>
    <row r="13" spans="5:9" x14ac:dyDescent="0.25">
      <c r="E13" s="518" t="s">
        <v>992</v>
      </c>
      <c r="F13" s="425">
        <v>125954286</v>
      </c>
      <c r="G13" s="425">
        <v>125954286</v>
      </c>
      <c r="H13" s="429">
        <v>125835183</v>
      </c>
      <c r="I13" s="431">
        <f t="shared" ref="I13:I26" si="0">+H13-G13</f>
        <v>-119103</v>
      </c>
    </row>
    <row r="14" spans="5:9" x14ac:dyDescent="0.25">
      <c r="E14" s="519" t="s">
        <v>993</v>
      </c>
      <c r="F14" s="426">
        <v>26866000</v>
      </c>
      <c r="G14" s="426">
        <v>26866000</v>
      </c>
      <c r="H14" s="426">
        <v>27645800</v>
      </c>
      <c r="I14" s="433">
        <f t="shared" si="0"/>
        <v>779800</v>
      </c>
    </row>
    <row r="15" spans="5:9" x14ac:dyDescent="0.25">
      <c r="E15" s="519" t="s">
        <v>988</v>
      </c>
      <c r="F15" s="427">
        <v>432000</v>
      </c>
      <c r="G15" s="427">
        <v>432000</v>
      </c>
      <c r="H15" s="426">
        <v>367923</v>
      </c>
      <c r="I15" s="433">
        <f t="shared" si="0"/>
        <v>-64077</v>
      </c>
    </row>
    <row r="16" spans="5:9" x14ac:dyDescent="0.25">
      <c r="E16" s="519" t="s">
        <v>989</v>
      </c>
      <c r="F16" s="427">
        <v>2730550</v>
      </c>
      <c r="G16" s="427">
        <v>2730550</v>
      </c>
      <c r="H16" s="426">
        <v>2607673</v>
      </c>
      <c r="I16" s="433">
        <f t="shared" si="0"/>
        <v>-122877</v>
      </c>
    </row>
    <row r="17" spans="5:9" x14ac:dyDescent="0.25">
      <c r="E17" s="519" t="s">
        <v>990</v>
      </c>
      <c r="F17" s="426">
        <v>12925902</v>
      </c>
      <c r="G17" s="426">
        <v>12955901</v>
      </c>
      <c r="H17" s="426">
        <v>13465817</v>
      </c>
      <c r="I17" s="433">
        <f t="shared" si="0"/>
        <v>509916</v>
      </c>
    </row>
    <row r="18" spans="5:9" x14ac:dyDescent="0.25">
      <c r="E18" s="520" t="s">
        <v>991</v>
      </c>
      <c r="F18" s="428">
        <v>7052821</v>
      </c>
      <c r="G18" s="428">
        <v>7052821</v>
      </c>
      <c r="H18" s="430">
        <v>7052832</v>
      </c>
      <c r="I18" s="432">
        <f t="shared" si="0"/>
        <v>11</v>
      </c>
    </row>
    <row r="19" spans="5:9" ht="20.100000000000001" customHeight="1" x14ac:dyDescent="0.25">
      <c r="E19" s="10" t="s">
        <v>13</v>
      </c>
      <c r="F19" s="698"/>
      <c r="G19" s="698"/>
      <c r="H19" s="698"/>
      <c r="I19" s="698"/>
    </row>
    <row r="20" spans="5:9" x14ac:dyDescent="0.25">
      <c r="E20" s="11" t="s">
        <v>14</v>
      </c>
      <c r="F20" s="429">
        <v>2872702</v>
      </c>
      <c r="G20" s="429">
        <v>3920472</v>
      </c>
      <c r="H20" s="429">
        <v>3722119</v>
      </c>
      <c r="I20" s="431">
        <f t="shared" si="0"/>
        <v>-198353</v>
      </c>
    </row>
    <row r="21" spans="5:9" x14ac:dyDescent="0.25">
      <c r="E21" s="521" t="s">
        <v>994</v>
      </c>
      <c r="F21" s="426">
        <v>16570000</v>
      </c>
      <c r="G21" s="426">
        <v>16570000</v>
      </c>
      <c r="H21" s="426">
        <v>16172686</v>
      </c>
      <c r="I21" s="433">
        <f t="shared" si="0"/>
        <v>-397314</v>
      </c>
    </row>
    <row r="22" spans="5:9" x14ac:dyDescent="0.25">
      <c r="E22" s="521" t="s">
        <v>995</v>
      </c>
      <c r="F22" s="426">
        <v>9069839</v>
      </c>
      <c r="G22" s="426">
        <v>9069839</v>
      </c>
      <c r="H22" s="426">
        <f>9661911+412275</f>
        <v>10074186</v>
      </c>
      <c r="I22" s="433">
        <f t="shared" si="0"/>
        <v>1004347</v>
      </c>
    </row>
    <row r="23" spans="5:9" x14ac:dyDescent="0.25">
      <c r="E23" s="521" t="s">
        <v>996</v>
      </c>
      <c r="F23" s="426">
        <v>9350000</v>
      </c>
      <c r="G23" s="426">
        <v>9350000</v>
      </c>
      <c r="H23" s="426">
        <v>9620042</v>
      </c>
      <c r="I23" s="433">
        <f t="shared" si="0"/>
        <v>270042</v>
      </c>
    </row>
    <row r="24" spans="5:9" x14ac:dyDescent="0.25">
      <c r="E24" s="12" t="s">
        <v>18</v>
      </c>
      <c r="F24" s="426">
        <v>575000</v>
      </c>
      <c r="G24" s="426">
        <v>575000</v>
      </c>
      <c r="H24" s="426">
        <f>1069177-412275</f>
        <v>656902</v>
      </c>
      <c r="I24" s="433">
        <f t="shared" si="0"/>
        <v>81902</v>
      </c>
    </row>
    <row r="25" spans="5:9" x14ac:dyDescent="0.25">
      <c r="E25" s="521" t="s">
        <v>997</v>
      </c>
      <c r="F25" s="426">
        <v>3000000</v>
      </c>
      <c r="G25" s="426">
        <v>3000000</v>
      </c>
      <c r="H25" s="426">
        <v>3544665</v>
      </c>
      <c r="I25" s="433">
        <f t="shared" si="0"/>
        <v>544665</v>
      </c>
    </row>
    <row r="26" spans="5:9" x14ac:dyDescent="0.25">
      <c r="E26" s="13" t="s">
        <v>20</v>
      </c>
      <c r="F26" s="430">
        <v>0</v>
      </c>
      <c r="G26" s="430">
        <v>0</v>
      </c>
      <c r="H26" s="430">
        <v>57115</v>
      </c>
      <c r="I26" s="432">
        <f t="shared" si="0"/>
        <v>57115</v>
      </c>
    </row>
    <row r="27" spans="5:9" ht="20.100000000000001" customHeight="1" x14ac:dyDescent="0.25">
      <c r="E27" s="14" t="s">
        <v>21</v>
      </c>
      <c r="F27" s="15">
        <f>IF(COUNT(F20:F26),SUM(F20:F26),"")</f>
        <v>41437541</v>
      </c>
      <c r="G27" s="15">
        <f>IF(COUNT(G20:G26),SUM(G20:G26),"")</f>
        <v>42485311</v>
      </c>
      <c r="H27" s="15">
        <f>IF(COUNT(H20:H26),SUM(H20:H26),"")</f>
        <v>43847715</v>
      </c>
      <c r="I27" s="15">
        <f>IF(COUNT(I20:I26),SUM(I20:I26),"")</f>
        <v>1362404</v>
      </c>
    </row>
    <row r="28" spans="5:9" ht="20.100000000000001" customHeight="1" x14ac:dyDescent="0.25">
      <c r="E28" s="10" t="s">
        <v>22</v>
      </c>
      <c r="F28" s="698"/>
      <c r="G28" s="698"/>
      <c r="H28" s="698"/>
      <c r="I28" s="698"/>
    </row>
    <row r="29" spans="5:9" x14ac:dyDescent="0.25">
      <c r="E29" s="523" t="s">
        <v>998</v>
      </c>
      <c r="F29" s="429">
        <v>1427100</v>
      </c>
      <c r="G29" s="429">
        <v>1427100</v>
      </c>
      <c r="H29" s="429">
        <f>994356+660682</f>
        <v>1655038</v>
      </c>
      <c r="I29" s="431">
        <f>+H29-G29</f>
        <v>227938</v>
      </c>
    </row>
    <row r="30" spans="5:9" x14ac:dyDescent="0.25">
      <c r="E30" s="522" t="s">
        <v>999</v>
      </c>
      <c r="F30" s="430">
        <v>465697</v>
      </c>
      <c r="G30" s="430">
        <v>465697</v>
      </c>
      <c r="H30" s="430">
        <v>771778</v>
      </c>
      <c r="I30" s="432">
        <f>+H30-G30</f>
        <v>306081</v>
      </c>
    </row>
    <row r="31" spans="5:9" ht="20.100000000000001" customHeight="1" x14ac:dyDescent="0.25">
      <c r="E31" s="14" t="s">
        <v>24</v>
      </c>
      <c r="F31" s="15">
        <f>IF(COUNT(F29:F30),SUM(F29:F30),"")</f>
        <v>1892797</v>
      </c>
      <c r="G31" s="15">
        <f>IF(COUNT(G29:G30),SUM(G29:G30),"")</f>
        <v>1892797</v>
      </c>
      <c r="H31" s="15">
        <f>IF(COUNT(H29:H30),SUM(H29:H30),"")</f>
        <v>2426816</v>
      </c>
      <c r="I31" s="15">
        <f>IF(COUNT(I29:I30),SUM(I29:I30),"")</f>
        <v>534019</v>
      </c>
    </row>
    <row r="32" spans="5:9" ht="20.100000000000001" customHeight="1" x14ac:dyDescent="0.25">
      <c r="E32" s="10" t="s">
        <v>25</v>
      </c>
      <c r="F32" s="698"/>
      <c r="G32" s="698"/>
      <c r="H32" s="698"/>
      <c r="I32" s="698"/>
    </row>
    <row r="33" spans="3:9" x14ac:dyDescent="0.25">
      <c r="E33" s="524" t="s">
        <v>1000</v>
      </c>
      <c r="F33" s="429">
        <v>24610</v>
      </c>
      <c r="G33" s="429">
        <v>317619</v>
      </c>
      <c r="H33" s="429">
        <v>505159</v>
      </c>
      <c r="I33" s="431">
        <f>+H33-G33</f>
        <v>187540</v>
      </c>
    </row>
    <row r="34" spans="3:9" x14ac:dyDescent="0.25">
      <c r="E34" s="16" t="s">
        <v>1002</v>
      </c>
      <c r="F34" s="426">
        <v>50000</v>
      </c>
      <c r="G34" s="426">
        <v>50000</v>
      </c>
      <c r="H34" s="426">
        <v>24784</v>
      </c>
      <c r="I34" s="433">
        <f>+H34-G34</f>
        <v>-25216</v>
      </c>
    </row>
    <row r="35" spans="3:9" x14ac:dyDescent="0.25">
      <c r="E35" s="16" t="s">
        <v>1001</v>
      </c>
      <c r="F35" s="426">
        <v>10000</v>
      </c>
      <c r="G35" s="426">
        <v>10000</v>
      </c>
      <c r="H35" s="426">
        <v>98202</v>
      </c>
      <c r="I35" s="433">
        <f>+H35-G35</f>
        <v>88202</v>
      </c>
    </row>
    <row r="36" spans="3:9" x14ac:dyDescent="0.25">
      <c r="E36" s="16" t="s">
        <v>29</v>
      </c>
      <c r="F36" s="426">
        <v>487468</v>
      </c>
      <c r="G36" s="426">
        <v>487468</v>
      </c>
      <c r="H36" s="426">
        <f>13389+366099</f>
        <v>379488</v>
      </c>
      <c r="I36" s="433">
        <f>+H36-G36</f>
        <v>-107980</v>
      </c>
    </row>
    <row r="37" spans="3:9" ht="20.100000000000001" customHeight="1" x14ac:dyDescent="0.25">
      <c r="E37" s="14" t="s">
        <v>30</v>
      </c>
      <c r="F37" s="15">
        <f>IF(COUNT(F33:F36),SUM(F33:F36),"")</f>
        <v>572078</v>
      </c>
      <c r="G37" s="15">
        <f>IF(COUNT(G33:G36),SUM(G33:G36),"")</f>
        <v>865087</v>
      </c>
      <c r="H37" s="15">
        <f>IF(COUNT(H33:H36),SUM(H33:H36),"")</f>
        <v>1007633</v>
      </c>
      <c r="I37" s="15">
        <f>IF(COUNT(I33:I36),SUM(I33:I36),"")</f>
        <v>142546</v>
      </c>
    </row>
    <row r="38" spans="3:9" ht="20.100000000000001" customHeight="1" x14ac:dyDescent="0.25">
      <c r="E38" s="14" t="s">
        <v>31</v>
      </c>
      <c r="F38" s="15">
        <f>+IF(COUNT(F13:F18,F27,F31,F37),SUM(F13:F18)+SUM(F27)+SUM(F31)+SUM(F37),"")</f>
        <v>219863975</v>
      </c>
      <c r="G38" s="15">
        <f>+IF(COUNT(G13:G18,G27,G31,G37),SUM(G13:G18)+SUM(G27)+SUM(G31)+SUM(G37),"")</f>
        <v>221234753</v>
      </c>
      <c r="H38" s="15">
        <f>+IF(COUNT(H13:H18,H27,H31,H37),SUM(H13:H18)+SUM(H27)+SUM(H31)+SUM(H37),"")</f>
        <v>224257392</v>
      </c>
      <c r="I38" s="15">
        <f>+IF(COUNT(I13:I18,I27,I31,I37),SUM(I13:I18)+SUM(I27)+SUM(I31)+SUM(I37),"")</f>
        <v>3022639</v>
      </c>
    </row>
    <row r="39" spans="3:9" ht="20.100000000000001" customHeight="1" x14ac:dyDescent="0.25">
      <c r="E39" s="10" t="s">
        <v>32</v>
      </c>
      <c r="F39" s="698"/>
      <c r="G39" s="698"/>
      <c r="H39" s="698"/>
      <c r="I39" s="698"/>
    </row>
    <row r="40" spans="3:9" x14ac:dyDescent="0.25">
      <c r="C40" s="17"/>
      <c r="D40" s="18"/>
      <c r="E40" s="19" t="s">
        <v>33</v>
      </c>
      <c r="F40" s="429">
        <v>22361015</v>
      </c>
      <c r="G40" s="429">
        <v>26348038</v>
      </c>
      <c r="H40" s="429">
        <f>23021877+4025</f>
        <v>23025902</v>
      </c>
      <c r="I40" s="434">
        <f>+G40-H40</f>
        <v>3322136</v>
      </c>
    </row>
    <row r="41" spans="3:9" x14ac:dyDescent="0.25">
      <c r="C41" s="17"/>
      <c r="D41" s="18"/>
      <c r="E41" s="20" t="s">
        <v>34</v>
      </c>
      <c r="F41" s="426">
        <v>7903089</v>
      </c>
      <c r="G41" s="426">
        <v>11859140</v>
      </c>
      <c r="H41" s="426">
        <v>9906669</v>
      </c>
      <c r="I41" s="435">
        <f>+G41-H41</f>
        <v>1952471</v>
      </c>
    </row>
    <row r="42" spans="3:9" x14ac:dyDescent="0.25">
      <c r="C42" s="17"/>
      <c r="D42" s="18"/>
      <c r="E42" s="20" t="s">
        <v>35</v>
      </c>
      <c r="F42" s="426">
        <v>10282890</v>
      </c>
      <c r="G42" s="426">
        <v>14189305</v>
      </c>
      <c r="H42" s="426">
        <v>14288329</v>
      </c>
      <c r="I42" s="433">
        <f>+G42-H42</f>
        <v>-99024</v>
      </c>
    </row>
    <row r="43" spans="3:9" x14ac:dyDescent="0.25">
      <c r="C43" s="17"/>
      <c r="D43" s="18"/>
      <c r="E43" s="20" t="s">
        <v>36</v>
      </c>
      <c r="F43" s="426"/>
      <c r="G43" s="426"/>
      <c r="H43" s="426"/>
      <c r="I43" s="433"/>
    </row>
    <row r="44" spans="3:9" x14ac:dyDescent="0.25">
      <c r="C44" s="17"/>
      <c r="D44" s="21"/>
      <c r="E44" s="516" t="s">
        <v>1003</v>
      </c>
      <c r="F44" s="426">
        <v>102162537</v>
      </c>
      <c r="G44" s="426">
        <v>105773363</v>
      </c>
      <c r="H44" s="426">
        <v>105624061</v>
      </c>
      <c r="I44" s="433">
        <f>+G44-H44</f>
        <v>149302</v>
      </c>
    </row>
    <row r="45" spans="3:9" x14ac:dyDescent="0.25">
      <c r="C45" s="17"/>
      <c r="D45" s="21"/>
      <c r="E45" s="516" t="s">
        <v>1004</v>
      </c>
      <c r="F45" s="426">
        <v>30382633</v>
      </c>
      <c r="G45" s="426">
        <v>31991143</v>
      </c>
      <c r="H45" s="426">
        <v>31983675</v>
      </c>
      <c r="I45" s="433">
        <f>+G45-H45</f>
        <v>7468</v>
      </c>
    </row>
    <row r="46" spans="3:9" x14ac:dyDescent="0.25">
      <c r="C46" s="17"/>
      <c r="D46" s="18"/>
      <c r="E46" s="20" t="s">
        <v>39</v>
      </c>
      <c r="F46" s="426">
        <v>40985535</v>
      </c>
      <c r="G46" s="426">
        <v>43002423</v>
      </c>
      <c r="H46" s="426">
        <v>43046164</v>
      </c>
      <c r="I46" s="433">
        <f>+G46-H46</f>
        <v>-43741</v>
      </c>
    </row>
    <row r="47" spans="3:9" x14ac:dyDescent="0.25">
      <c r="C47" s="17"/>
      <c r="D47" s="18"/>
      <c r="E47" s="20" t="s">
        <v>40</v>
      </c>
      <c r="F47" s="426">
        <v>6776079</v>
      </c>
      <c r="G47" s="426">
        <v>7622820</v>
      </c>
      <c r="H47" s="426">
        <v>6269825</v>
      </c>
      <c r="I47" s="433">
        <f>+G47-H47</f>
        <v>1352995</v>
      </c>
    </row>
    <row r="48" spans="3:9" x14ac:dyDescent="0.25">
      <c r="C48" s="17"/>
      <c r="D48" s="18"/>
      <c r="E48" s="20" t="s">
        <v>41</v>
      </c>
      <c r="F48" s="426">
        <v>4553033</v>
      </c>
      <c r="G48" s="426">
        <v>207</v>
      </c>
      <c r="H48" s="426">
        <v>0</v>
      </c>
      <c r="I48" s="433">
        <f>+G48-H48</f>
        <v>207</v>
      </c>
    </row>
    <row r="49" spans="5:9" ht="20.100000000000001" customHeight="1" x14ac:dyDescent="0.25">
      <c r="E49" s="514" t="s">
        <v>1005</v>
      </c>
      <c r="F49" s="15">
        <f>IF(COUNT(F40:F48),SUM(F40:F48),"")</f>
        <v>225406811</v>
      </c>
      <c r="G49" s="15">
        <f>IF(COUNT(G40:G48),SUM(G40:G48),"")</f>
        <v>240786439</v>
      </c>
      <c r="H49" s="15">
        <f>IF(COUNT(H40:H48),SUM(H40:H48),"")</f>
        <v>234144625</v>
      </c>
      <c r="I49" s="15">
        <f>IF(COUNT(I40:I48),SUM(I40:I48),"")</f>
        <v>6641814</v>
      </c>
    </row>
    <row r="50" spans="5:9" ht="30" x14ac:dyDescent="0.25">
      <c r="E50" s="14" t="s">
        <v>43</v>
      </c>
      <c r="F50" s="15">
        <f>IF(COUNT(F38,F49),SUM(F38)-SUM(F49),"")</f>
        <v>-5542836</v>
      </c>
      <c r="G50" s="15">
        <f>IF(COUNT(G38,G49),SUM(G38)-SUM(G49),"")</f>
        <v>-19551686</v>
      </c>
      <c r="H50" s="15">
        <f>IF(COUNT(H38,H49),SUM(H38)-SUM(H49),"")</f>
        <v>-9887233</v>
      </c>
      <c r="I50" s="15">
        <f>IF(COUNT(I38,I49),SUM(I38)-SUM(I49),"")</f>
        <v>-3619175</v>
      </c>
    </row>
    <row r="51" spans="5:9" ht="20.100000000000001" customHeight="1" x14ac:dyDescent="0.25">
      <c r="E51" s="2" t="s">
        <v>44</v>
      </c>
      <c r="F51" s="698"/>
      <c r="G51" s="698"/>
      <c r="H51" s="698"/>
      <c r="I51" s="698"/>
    </row>
    <row r="52" spans="5:9" x14ac:dyDescent="0.25">
      <c r="E52" s="515" t="s">
        <v>1006</v>
      </c>
      <c r="F52" s="425">
        <f>19273351-500000</f>
        <v>18773351</v>
      </c>
      <c r="G52" s="425">
        <f>19329684-500000</f>
        <v>18829684</v>
      </c>
      <c r="H52" s="425">
        <f>19060979-500004</f>
        <v>18560975</v>
      </c>
      <c r="I52" s="431">
        <f>+H52-G52</f>
        <v>-268709</v>
      </c>
    </row>
    <row r="53" spans="5:9" x14ac:dyDescent="0.25">
      <c r="E53" s="22" t="s">
        <v>1007</v>
      </c>
      <c r="F53" s="428">
        <v>11468233</v>
      </c>
      <c r="G53" s="428">
        <v>15955733</v>
      </c>
      <c r="H53" s="428">
        <v>11160954</v>
      </c>
      <c r="I53" s="431">
        <f>+H53-G53</f>
        <v>-4794779</v>
      </c>
    </row>
    <row r="54" spans="5:9" ht="20.100000000000001" customHeight="1" x14ac:dyDescent="0.25">
      <c r="E54" s="14" t="s">
        <v>45</v>
      </c>
      <c r="F54" s="15">
        <f>IF(COUNT(F52:F53),SUM(F52)-SUM(F53),"")</f>
        <v>7305118</v>
      </c>
      <c r="G54" s="15">
        <f t="shared" ref="G54:I54" si="1">IF(COUNT(G52:G53),SUM(G52)-SUM(G53),"")</f>
        <v>2873951</v>
      </c>
      <c r="H54" s="15">
        <f t="shared" si="1"/>
        <v>7400021</v>
      </c>
      <c r="I54" s="15">
        <f t="shared" si="1"/>
        <v>4526070</v>
      </c>
    </row>
    <row r="55" spans="5:9" ht="45" x14ac:dyDescent="0.25">
      <c r="E55" s="14" t="s">
        <v>46</v>
      </c>
      <c r="F55" s="15">
        <f>IF(COUNT(F50,F54),SUM(F50,F54),"")</f>
        <v>1762282</v>
      </c>
      <c r="G55" s="15">
        <f>IF(COUNT(G50,G54),SUM(G50,G54),"")</f>
        <v>-16677735</v>
      </c>
      <c r="H55" s="15">
        <f>IF(COUNT(H50,H54),SUM(H50,H54),"")</f>
        <v>-2487212</v>
      </c>
      <c r="I55" s="15">
        <f>IF(COUNT(I50,I54),SUM(I50,I54),"")</f>
        <v>906895</v>
      </c>
    </row>
    <row r="56" spans="5:9" x14ac:dyDescent="0.25">
      <c r="E56" s="20" t="s">
        <v>47</v>
      </c>
      <c r="F56" s="427">
        <v>54045381</v>
      </c>
      <c r="G56" s="427">
        <v>54045381</v>
      </c>
      <c r="H56" s="427">
        <v>54045381</v>
      </c>
      <c r="I56" s="433">
        <f>+H56-G56</f>
        <v>0</v>
      </c>
    </row>
    <row r="57" spans="5:9" x14ac:dyDescent="0.25">
      <c r="E57" s="20" t="s">
        <v>48</v>
      </c>
      <c r="F57" s="427">
        <v>0</v>
      </c>
      <c r="G57" s="427">
        <v>3025589</v>
      </c>
      <c r="H57" s="427">
        <v>3025589</v>
      </c>
      <c r="I57" s="433">
        <f>+H57-G57</f>
        <v>0</v>
      </c>
    </row>
    <row r="58" spans="5:9" ht="30" x14ac:dyDescent="0.25">
      <c r="E58" s="23" t="s">
        <v>49</v>
      </c>
      <c r="F58" s="427">
        <v>0</v>
      </c>
      <c r="G58" s="427">
        <v>0</v>
      </c>
      <c r="H58" s="427">
        <v>-374720</v>
      </c>
      <c r="I58" s="433">
        <f>+H58-G58</f>
        <v>-374720</v>
      </c>
    </row>
    <row r="59" spans="5:9" x14ac:dyDescent="0.25">
      <c r="E59" s="22" t="s">
        <v>50</v>
      </c>
      <c r="F59" s="428">
        <v>0</v>
      </c>
      <c r="G59" s="428">
        <v>0</v>
      </c>
      <c r="H59" s="428">
        <v>-4049380</v>
      </c>
      <c r="I59" s="432">
        <f>+H59-G59</f>
        <v>-4049380</v>
      </c>
    </row>
    <row r="60" spans="5:9" ht="20.100000000000001" customHeight="1" x14ac:dyDescent="0.25">
      <c r="E60" s="14" t="s">
        <v>51</v>
      </c>
      <c r="F60" s="15">
        <f>IF(COUNT(F55:F59),SUM(F55:F59),"")</f>
        <v>55807663</v>
      </c>
      <c r="G60" s="15">
        <f>IF(COUNT(G55:G59),SUM(G55:G59),"")</f>
        <v>40393235</v>
      </c>
      <c r="H60" s="15">
        <f>IF(COUNT(H55:H59),SUM(H55:H59),"")</f>
        <v>50159658</v>
      </c>
      <c r="I60" s="15">
        <f>IF(COUNT(I55:I59),SUM(I55:I59),"")</f>
        <v>-3517205</v>
      </c>
    </row>
    <row r="61" spans="5:9" ht="20.100000000000001" customHeight="1" x14ac:dyDescent="0.25">
      <c r="E61" s="702" t="s">
        <v>52</v>
      </c>
      <c r="F61" s="703"/>
      <c r="G61" s="703"/>
      <c r="H61" s="704"/>
      <c r="I61" s="705"/>
    </row>
    <row r="62" spans="5:9" x14ac:dyDescent="0.25">
      <c r="E62" s="708" t="s">
        <v>53</v>
      </c>
      <c r="F62" s="709"/>
      <c r="G62" s="710"/>
      <c r="H62" s="425">
        <v>5034306</v>
      </c>
      <c r="I62" s="706"/>
    </row>
    <row r="63" spans="5:9" x14ac:dyDescent="0.25">
      <c r="E63" s="711" t="s">
        <v>54</v>
      </c>
      <c r="F63" s="712"/>
      <c r="G63" s="713"/>
      <c r="H63" s="427">
        <v>7819613</v>
      </c>
      <c r="I63" s="706"/>
    </row>
    <row r="64" spans="5:9" x14ac:dyDescent="0.25">
      <c r="E64" s="711" t="s">
        <v>55</v>
      </c>
      <c r="F64" s="712"/>
      <c r="G64" s="713"/>
      <c r="H64" s="427">
        <f>66615+1156357</f>
        <v>1222972</v>
      </c>
      <c r="I64" s="706"/>
    </row>
    <row r="65" spans="5:9" x14ac:dyDescent="0.25">
      <c r="E65" s="714" t="s">
        <v>56</v>
      </c>
      <c r="F65" s="715"/>
      <c r="G65" s="716"/>
      <c r="H65" s="428">
        <v>64987</v>
      </c>
      <c r="I65" s="706"/>
    </row>
    <row r="66" spans="5:9" ht="20.100000000000001" customHeight="1" x14ac:dyDescent="0.25">
      <c r="E66" s="717" t="s">
        <v>57</v>
      </c>
      <c r="F66" s="717"/>
      <c r="G66" s="717"/>
      <c r="H66" s="15">
        <f>IF(COUNT(H62:H65,H60),SUM(H62:H65)+SUM(H60),"")</f>
        <v>64301536</v>
      </c>
      <c r="I66" s="707"/>
    </row>
    <row r="67" spans="5:9" x14ac:dyDescent="0.25">
      <c r="E67" s="18"/>
      <c r="F67" s="24"/>
      <c r="G67" s="24"/>
      <c r="H67" s="24"/>
      <c r="I67" s="24"/>
    </row>
    <row r="68" spans="5:9" hidden="1" x14ac:dyDescent="0.25">
      <c r="E68" s="18"/>
      <c r="F68" s="25"/>
      <c r="G68" s="25"/>
      <c r="H68" s="25"/>
      <c r="I68" s="25"/>
    </row>
  </sheetData>
  <sheetProtection algorithmName="SHA-512" hashValue="Mop9G/MPhpPUavMgRRHFqKhtJCD0w7bELS0g1HCNyazX0IJmsKo0jwzBP76qeetos00McedmIn0znRfKuBSgfQ==" saltValue="joFemRb522T/vO/SEykMNg==" spinCount="100000" sheet="1" objects="1" scenarios="1"/>
  <mergeCells count="14">
    <mergeCell ref="F51:I51"/>
    <mergeCell ref="E61:H61"/>
    <mergeCell ref="I61:I66"/>
    <mergeCell ref="E62:G62"/>
    <mergeCell ref="E63:G63"/>
    <mergeCell ref="E64:G64"/>
    <mergeCell ref="E65:G65"/>
    <mergeCell ref="E66:G66"/>
    <mergeCell ref="F39:I39"/>
    <mergeCell ref="E10:H10"/>
    <mergeCell ref="F12:I12"/>
    <mergeCell ref="F19:I19"/>
    <mergeCell ref="F28:I28"/>
    <mergeCell ref="F32:I3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E1:I30"/>
  <sheetViews>
    <sheetView showGridLines="0" topLeftCell="D5" workbookViewId="0">
      <selection activeCell="D5" sqref="D5"/>
    </sheetView>
  </sheetViews>
  <sheetFormatPr defaultColWidth="0" defaultRowHeight="15" zeroHeight="1" x14ac:dyDescent="0.25"/>
  <cols>
    <col min="1" max="3" width="0" hidden="1" customWidth="1"/>
    <col min="4" max="4" width="2.7109375" customWidth="1"/>
    <col min="5" max="5" width="60.28515625" bestFit="1" customWidth="1"/>
    <col min="6" max="8" width="16.7109375" customWidth="1"/>
    <col min="9" max="9" width="20.7109375" customWidth="1"/>
    <col min="10" max="10" width="2.7109375" customWidth="1"/>
  </cols>
  <sheetData>
    <row r="1" spans="5:9" hidden="1" x14ac:dyDescent="0.25"/>
    <row r="2" spans="5:9" hidden="1" x14ac:dyDescent="0.25"/>
    <row r="3" spans="5:9" hidden="1" x14ac:dyDescent="0.25"/>
    <row r="4" spans="5:9" ht="32.25" hidden="1" customHeight="1" x14ac:dyDescent="0.25">
      <c r="E4" s="27"/>
    </row>
    <row r="5" spans="5:9" ht="36.950000000000003" customHeight="1" x14ac:dyDescent="0.25"/>
    <row r="6" spans="5:9" ht="20.100000000000001" customHeight="1" x14ac:dyDescent="0.25">
      <c r="E6" s="721" t="s">
        <v>58</v>
      </c>
      <c r="F6" s="721"/>
      <c r="G6" s="721"/>
      <c r="H6" s="721"/>
      <c r="I6" s="406" t="str">
        <f>TEXT(DATE('General Info'!$G$11,VALUE('General Info'!$E$11),'General Info'!$F$11),"MMMM DD, YYYY")</f>
        <v>September 30, 2017</v>
      </c>
    </row>
    <row r="7" spans="5:9" ht="20.100000000000001" customHeight="1" x14ac:dyDescent="0.25">
      <c r="E7" s="699" t="s">
        <v>59</v>
      </c>
      <c r="F7" s="700"/>
      <c r="G7" s="700"/>
      <c r="H7" s="700"/>
      <c r="I7" s="701"/>
    </row>
    <row r="8" spans="5:9" ht="30" x14ac:dyDescent="0.25">
      <c r="E8" s="1" t="s">
        <v>1</v>
      </c>
      <c r="F8" s="1" t="s">
        <v>2</v>
      </c>
      <c r="G8" s="1" t="s">
        <v>3</v>
      </c>
      <c r="H8" s="1" t="s">
        <v>4</v>
      </c>
      <c r="I8" s="1" t="s">
        <v>5</v>
      </c>
    </row>
    <row r="9" spans="5:9" ht="20.100000000000001" customHeight="1" x14ac:dyDescent="0.25">
      <c r="E9" s="2" t="s">
        <v>6</v>
      </c>
      <c r="F9" s="698"/>
      <c r="G9" s="698"/>
      <c r="H9" s="698"/>
      <c r="I9" s="698"/>
    </row>
    <row r="10" spans="5:9" x14ac:dyDescent="0.25">
      <c r="E10" s="523" t="s">
        <v>1020</v>
      </c>
      <c r="F10" s="429">
        <v>974480</v>
      </c>
      <c r="G10" s="429">
        <v>974480</v>
      </c>
      <c r="H10" s="4">
        <v>966758</v>
      </c>
      <c r="I10" s="431">
        <f>+H10-G10</f>
        <v>-7722</v>
      </c>
    </row>
    <row r="11" spans="5:9" x14ac:dyDescent="0.25">
      <c r="E11" s="13" t="s">
        <v>61</v>
      </c>
      <c r="F11" s="430">
        <v>61000</v>
      </c>
      <c r="G11" s="430">
        <v>61000</v>
      </c>
      <c r="H11" s="9">
        <f>37908+37895</f>
        <v>75803</v>
      </c>
      <c r="I11" s="432">
        <f>+H11-G11</f>
        <v>14803</v>
      </c>
    </row>
    <row r="12" spans="5:9" ht="20.100000000000001" customHeight="1" x14ac:dyDescent="0.25">
      <c r="E12" s="514" t="s">
        <v>1021</v>
      </c>
      <c r="F12" s="15">
        <f>IF(COUNT(F10:F11),SUM(F10:F11),"")</f>
        <v>1035480</v>
      </c>
      <c r="G12" s="15">
        <f>IF(COUNT(G10:G11),SUM(G10:G11),"")</f>
        <v>1035480</v>
      </c>
      <c r="H12" s="15">
        <f>IF(COUNT(H10:H11),SUM(H10:H11),"")</f>
        <v>1042561</v>
      </c>
      <c r="I12" s="15">
        <f>IF(COUNT(I10:I11),SUM(I10:I11),"")</f>
        <v>7081</v>
      </c>
    </row>
    <row r="13" spans="5:9" ht="20.100000000000001" customHeight="1" x14ac:dyDescent="0.25">
      <c r="E13" s="2" t="s">
        <v>44</v>
      </c>
      <c r="F13" s="698"/>
      <c r="G13" s="698"/>
      <c r="H13" s="698"/>
      <c r="I13" s="698"/>
    </row>
    <row r="14" spans="5:9" x14ac:dyDescent="0.25">
      <c r="E14" s="523" t="s">
        <v>1024</v>
      </c>
      <c r="F14" s="425">
        <v>1304901</v>
      </c>
      <c r="G14" s="425">
        <v>1304901</v>
      </c>
      <c r="H14" s="4">
        <v>1302555</v>
      </c>
      <c r="I14" s="431">
        <f>+H14-G14</f>
        <v>-2346</v>
      </c>
    </row>
    <row r="15" spans="5:9" x14ac:dyDescent="0.25">
      <c r="E15" s="522" t="s">
        <v>1025</v>
      </c>
      <c r="F15" s="8">
        <v>0</v>
      </c>
      <c r="G15" s="428">
        <v>2223422</v>
      </c>
      <c r="H15" s="8">
        <v>2219202</v>
      </c>
      <c r="I15" s="431">
        <f>+H15-G15</f>
        <v>-4220</v>
      </c>
    </row>
    <row r="16" spans="5:9" ht="20.100000000000001" customHeight="1" x14ac:dyDescent="0.25">
      <c r="E16" s="514" t="s">
        <v>1026</v>
      </c>
      <c r="F16" s="15">
        <f>IF(COUNT(F14:F15),SUM(F14:F15),"")</f>
        <v>1304901</v>
      </c>
      <c r="G16" s="15">
        <f>IF(COUNT(G14:G15),SUM(G14)-SUM(G15),"")</f>
        <v>-918521</v>
      </c>
      <c r="H16" s="15">
        <f t="shared" ref="H16:I16" si="0">IF(COUNT(H14:H15),SUM(H14)-SUM(H15),"")</f>
        <v>-916647</v>
      </c>
      <c r="I16" s="15">
        <f t="shared" si="0"/>
        <v>1874</v>
      </c>
    </row>
    <row r="17" spans="5:9" ht="30" x14ac:dyDescent="0.25">
      <c r="E17" s="514" t="s">
        <v>1027</v>
      </c>
      <c r="F17" s="15">
        <f>IF(COUNT(F16,F12),SUM(F12,F16),"")</f>
        <v>2340381</v>
      </c>
      <c r="G17" s="15">
        <f>IF(COUNT(G16,G12),SUM(G12,G16),"")</f>
        <v>116959</v>
      </c>
      <c r="H17" s="15">
        <f>IF(COUNT(H16,H12),SUM(H12,H16),"")</f>
        <v>125914</v>
      </c>
      <c r="I17" s="15">
        <f>IF(COUNT(I16,I12),SUM(I12,I16),"")</f>
        <v>8955</v>
      </c>
    </row>
    <row r="18" spans="5:9" x14ac:dyDescent="0.25">
      <c r="E18" s="16" t="s">
        <v>1028</v>
      </c>
      <c r="F18" s="425">
        <v>4689495</v>
      </c>
      <c r="G18" s="425">
        <v>4689495</v>
      </c>
      <c r="H18" s="431">
        <v>4689495</v>
      </c>
      <c r="I18" s="431">
        <f>+H18-G18</f>
        <v>0</v>
      </c>
    </row>
    <row r="19" spans="5:9" x14ac:dyDescent="0.25">
      <c r="E19" s="16" t="s">
        <v>1029</v>
      </c>
      <c r="F19" s="427">
        <v>0</v>
      </c>
      <c r="G19" s="427">
        <v>0</v>
      </c>
      <c r="H19" s="6">
        <v>0</v>
      </c>
      <c r="I19" s="433">
        <v>0</v>
      </c>
    </row>
    <row r="20" spans="5:9" x14ac:dyDescent="0.25">
      <c r="E20" s="16" t="s">
        <v>1030</v>
      </c>
      <c r="F20" s="427">
        <v>0</v>
      </c>
      <c r="G20" s="427">
        <v>0</v>
      </c>
      <c r="H20" s="6">
        <v>0</v>
      </c>
      <c r="I20" s="433">
        <v>0</v>
      </c>
    </row>
    <row r="21" spans="5:9" x14ac:dyDescent="0.25">
      <c r="E21" s="26" t="s">
        <v>1031</v>
      </c>
      <c r="F21" s="428">
        <v>0</v>
      </c>
      <c r="G21" s="428">
        <v>0</v>
      </c>
      <c r="H21" s="8">
        <v>0</v>
      </c>
      <c r="I21" s="432">
        <v>0</v>
      </c>
    </row>
    <row r="22" spans="5:9" ht="20.100000000000001" customHeight="1" x14ac:dyDescent="0.25">
      <c r="E22" s="514" t="s">
        <v>1032</v>
      </c>
      <c r="F22" s="15">
        <f>IF(COUNT(F17:F21),SUM(F17:F21),"")</f>
        <v>7029876</v>
      </c>
      <c r="G22" s="15">
        <f>IF(COUNT(G17:G21),SUM(G17:G21),"")</f>
        <v>4806454</v>
      </c>
      <c r="H22" s="15">
        <f>IF(COUNT(H17:H21),SUM(H17:H21),"")</f>
        <v>4815409</v>
      </c>
      <c r="I22" s="15">
        <f>IF(COUNT(I17:I21),SUM(I17:I21),"")</f>
        <v>8955</v>
      </c>
    </row>
    <row r="23" spans="5:9" ht="20.100000000000001" customHeight="1" x14ac:dyDescent="0.25">
      <c r="E23" s="722" t="s">
        <v>52</v>
      </c>
      <c r="F23" s="723"/>
      <c r="G23" s="723"/>
      <c r="H23" s="724"/>
      <c r="I23" s="725"/>
    </row>
    <row r="24" spans="5:9" x14ac:dyDescent="0.25">
      <c r="E24" s="728" t="s">
        <v>1033</v>
      </c>
      <c r="F24" s="729"/>
      <c r="G24" s="730"/>
      <c r="H24" s="425">
        <v>0</v>
      </c>
      <c r="I24" s="726"/>
    </row>
    <row r="25" spans="5:9" x14ac:dyDescent="0.25">
      <c r="E25" s="731" t="s">
        <v>1034</v>
      </c>
      <c r="F25" s="732"/>
      <c r="G25" s="733"/>
      <c r="H25" s="427">
        <v>0</v>
      </c>
      <c r="I25" s="726"/>
    </row>
    <row r="26" spans="5:9" x14ac:dyDescent="0.25">
      <c r="E26" s="731" t="s">
        <v>1035</v>
      </c>
      <c r="F26" s="732"/>
      <c r="G26" s="733"/>
      <c r="H26" s="427">
        <v>0</v>
      </c>
      <c r="I26" s="726"/>
    </row>
    <row r="27" spans="5:9" x14ac:dyDescent="0.25">
      <c r="E27" s="734" t="s">
        <v>1036</v>
      </c>
      <c r="F27" s="735"/>
      <c r="G27" s="736"/>
      <c r="H27" s="428">
        <v>13059</v>
      </c>
      <c r="I27" s="726"/>
    </row>
    <row r="28" spans="5:9" ht="20.100000000000001" customHeight="1" x14ac:dyDescent="0.25">
      <c r="E28" s="718" t="s">
        <v>1037</v>
      </c>
      <c r="F28" s="719"/>
      <c r="G28" s="720"/>
      <c r="H28" s="525">
        <f>IF(COUNT(H24:H27,H22),SUM(H24:H27)+SUM(H22),"")</f>
        <v>4828468</v>
      </c>
      <c r="I28" s="727"/>
    </row>
    <row r="29" spans="5:9" x14ac:dyDescent="0.25">
      <c r="E29" s="18"/>
      <c r="F29" s="24"/>
      <c r="G29" s="24"/>
      <c r="H29" s="24"/>
      <c r="I29" s="24"/>
    </row>
    <row r="30" spans="5:9" hidden="1" x14ac:dyDescent="0.25"/>
  </sheetData>
  <sheetProtection algorithmName="SHA-512" hashValue="TILJDIp0GEB+W6/j1wE2qdk1T/OC2lAPXOHUM+hRw+lMtkrIOFV/FLlyqd6DNc2jfvXSg/L38+QRdBrFT9Q1RQ==" saltValue="eWpNcSD0vUeRz/SuooJFYg==" spinCount="100000" sheet="1" objects="1" scenarios="1"/>
  <mergeCells count="11">
    <mergeCell ref="E28:G28"/>
    <mergeCell ref="E6:H6"/>
    <mergeCell ref="E7:I7"/>
    <mergeCell ref="F9:I9"/>
    <mergeCell ref="F13:I13"/>
    <mergeCell ref="E23:H23"/>
    <mergeCell ref="I23:I28"/>
    <mergeCell ref="E24:G24"/>
    <mergeCell ref="E25:G25"/>
    <mergeCell ref="E26:G26"/>
    <mergeCell ref="E27:G2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1"/>
  <dimension ref="A1:K34"/>
  <sheetViews>
    <sheetView showGridLines="0" topLeftCell="E9" workbookViewId="0">
      <selection activeCell="E9" sqref="E9"/>
    </sheetView>
  </sheetViews>
  <sheetFormatPr defaultColWidth="0" defaultRowHeight="15" zeroHeight="1" x14ac:dyDescent="0.25"/>
  <cols>
    <col min="1" max="4" width="10.7109375" hidden="1" customWidth="1"/>
    <col min="5" max="5" width="2.7109375" customWidth="1"/>
    <col min="6" max="6" width="51.28515625" customWidth="1"/>
    <col min="7" max="9" width="18.7109375" customWidth="1"/>
    <col min="10" max="10" width="20.7109375" customWidth="1"/>
    <col min="11" max="11" width="2.7109375" customWidth="1"/>
    <col min="12" max="16384" width="9.5703125" hidden="1"/>
  </cols>
  <sheetData>
    <row r="1" spans="6:10" hidden="1" x14ac:dyDescent="0.25"/>
    <row r="2" spans="6:10" hidden="1" x14ac:dyDescent="0.25"/>
    <row r="3" spans="6:10" hidden="1" x14ac:dyDescent="0.25"/>
    <row r="4" spans="6:10" hidden="1" x14ac:dyDescent="0.25"/>
    <row r="5" spans="6:10" hidden="1" x14ac:dyDescent="0.25"/>
    <row r="6" spans="6:10" hidden="1" x14ac:dyDescent="0.25"/>
    <row r="7" spans="6:10" ht="34.5" hidden="1" customHeight="1" x14ac:dyDescent="0.25">
      <c r="F7" s="27"/>
    </row>
    <row r="8" spans="6:10" ht="36.950000000000003" hidden="1" customHeight="1" x14ac:dyDescent="0.25"/>
    <row r="9" spans="6:10" ht="36.950000000000003" customHeight="1" x14ac:dyDescent="0.25"/>
    <row r="10" spans="6:10" ht="20.100000000000001" customHeight="1" x14ac:dyDescent="0.25">
      <c r="F10" s="721" t="s">
        <v>58</v>
      </c>
      <c r="G10" s="721"/>
      <c r="H10" s="721"/>
      <c r="I10" s="721"/>
      <c r="J10" s="406" t="str">
        <f>TEXT(DATE('General Info'!$G$11,VALUE('General Info'!$E$11),'General Info'!$F$11),"MMMM DD, YYYY")</f>
        <v>September 30, 2017</v>
      </c>
    </row>
    <row r="11" spans="6:10" ht="20.100000000000001" customHeight="1" x14ac:dyDescent="0.25">
      <c r="F11" s="699" t="s">
        <v>62</v>
      </c>
      <c r="G11" s="700"/>
      <c r="H11" s="700"/>
      <c r="I11" s="700"/>
      <c r="J11" s="701"/>
    </row>
    <row r="12" spans="6:10" ht="30" x14ac:dyDescent="0.25">
      <c r="F12" s="1" t="s">
        <v>1</v>
      </c>
      <c r="G12" s="1" t="s">
        <v>2</v>
      </c>
      <c r="H12" s="1" t="s">
        <v>3</v>
      </c>
      <c r="I12" s="1" t="s">
        <v>4</v>
      </c>
      <c r="J12" s="1" t="s">
        <v>5</v>
      </c>
    </row>
    <row r="13" spans="6:10" ht="20.100000000000001" customHeight="1" x14ac:dyDescent="0.25">
      <c r="F13" s="2" t="s">
        <v>6</v>
      </c>
      <c r="G13" s="698"/>
      <c r="H13" s="698"/>
      <c r="I13" s="698"/>
      <c r="J13" s="698"/>
    </row>
    <row r="14" spans="6:10" x14ac:dyDescent="0.25">
      <c r="F14" s="523" t="s">
        <v>1044</v>
      </c>
      <c r="G14" s="429">
        <v>5274337</v>
      </c>
      <c r="H14" s="429">
        <v>5274337</v>
      </c>
      <c r="I14" s="425">
        <v>5257062</v>
      </c>
      <c r="J14" s="431">
        <f>+I14-H14</f>
        <v>-17275</v>
      </c>
    </row>
    <row r="15" spans="6:10" x14ac:dyDescent="0.25">
      <c r="F15" s="522" t="s">
        <v>1045</v>
      </c>
      <c r="G15" s="430">
        <v>165000</v>
      </c>
      <c r="H15" s="430">
        <v>165000</v>
      </c>
      <c r="I15" s="430">
        <v>288425</v>
      </c>
      <c r="J15" s="428">
        <f>+I15-H15</f>
        <v>123425</v>
      </c>
    </row>
    <row r="16" spans="6:10" ht="20.100000000000001" customHeight="1" x14ac:dyDescent="0.25">
      <c r="F16" s="514" t="s">
        <v>1046</v>
      </c>
      <c r="G16" s="15">
        <f>IF(COUNT(G14:G15),SUM(G14:G15),"")</f>
        <v>5439337</v>
      </c>
      <c r="H16" s="15">
        <f>IF(COUNT(H14:H15),SUM(H14:H15),"")</f>
        <v>5439337</v>
      </c>
      <c r="I16" s="15">
        <f>IF(COUNT(I14:I15),SUM(I14:I15),"")</f>
        <v>5545487</v>
      </c>
      <c r="J16" s="15">
        <f>IF(COUNT(J14:J15),SUM(J14:J15),"")</f>
        <v>106150</v>
      </c>
    </row>
    <row r="17" spans="6:10" ht="20.100000000000001" customHeight="1" x14ac:dyDescent="0.25">
      <c r="F17" s="2" t="s">
        <v>44</v>
      </c>
      <c r="G17" s="698"/>
      <c r="H17" s="698"/>
      <c r="I17" s="698"/>
      <c r="J17" s="698"/>
    </row>
    <row r="18" spans="6:10" x14ac:dyDescent="0.25">
      <c r="F18" s="523" t="s">
        <v>1022</v>
      </c>
      <c r="G18" s="425">
        <v>7459332</v>
      </c>
      <c r="H18" s="425">
        <v>7459332</v>
      </c>
      <c r="I18" s="425">
        <v>7434899</v>
      </c>
      <c r="J18" s="431">
        <f>+I18-H18</f>
        <v>-24433</v>
      </c>
    </row>
    <row r="19" spans="6:10" x14ac:dyDescent="0.25">
      <c r="F19" s="522" t="s">
        <v>1023</v>
      </c>
      <c r="G19" s="428">
        <v>6021727</v>
      </c>
      <c r="H19" s="428">
        <v>6021727</v>
      </c>
      <c r="I19" s="428">
        <v>5988906</v>
      </c>
      <c r="J19" s="431">
        <f>+I19-H19</f>
        <v>-32821</v>
      </c>
    </row>
    <row r="20" spans="6:10" ht="20.100000000000001" customHeight="1" x14ac:dyDescent="0.25">
      <c r="F20" s="514" t="s">
        <v>1047</v>
      </c>
      <c r="G20" s="15">
        <f>IF(COUNT(G18:G19),SUM(G18)-SUM(G19),"")</f>
        <v>1437605</v>
      </c>
      <c r="H20" s="15">
        <f t="shared" ref="H20:J20" si="0">IF(COUNT(H18:H19),SUM(H18)-SUM(H19),"")</f>
        <v>1437605</v>
      </c>
      <c r="I20" s="15">
        <f t="shared" si="0"/>
        <v>1445993</v>
      </c>
      <c r="J20" s="15">
        <f t="shared" si="0"/>
        <v>8388</v>
      </c>
    </row>
    <row r="21" spans="6:10" ht="30" x14ac:dyDescent="0.25">
      <c r="F21" s="514" t="s">
        <v>1048</v>
      </c>
      <c r="G21" s="15">
        <f>IF(COUNT(G16,G20),SUM(G16)+SUM(G20),"")</f>
        <v>6876942</v>
      </c>
      <c r="H21" s="15">
        <f>IF(COUNT(H16,H20),SUM(H16)+SUM(H20),"")</f>
        <v>6876942</v>
      </c>
      <c r="I21" s="15">
        <f>IF(COUNT(I16,I20),SUM(I16)+SUM(I20),"")</f>
        <v>6991480</v>
      </c>
      <c r="J21" s="15">
        <f>IF(COUNT(J16,J20),SUM(J16)+SUM(J20),"")</f>
        <v>114538</v>
      </c>
    </row>
    <row r="22" spans="6:10" x14ac:dyDescent="0.25">
      <c r="F22" s="16" t="s">
        <v>1049</v>
      </c>
      <c r="G22" s="425">
        <v>15296274</v>
      </c>
      <c r="H22" s="425">
        <v>15296274</v>
      </c>
      <c r="I22" s="425">
        <v>15296274</v>
      </c>
      <c r="J22" s="431">
        <f>+I22-H22</f>
        <v>0</v>
      </c>
    </row>
    <row r="23" spans="6:10" x14ac:dyDescent="0.25">
      <c r="F23" s="16" t="s">
        <v>1050</v>
      </c>
      <c r="G23" s="427">
        <v>0</v>
      </c>
      <c r="H23" s="427">
        <v>0</v>
      </c>
      <c r="I23" s="427">
        <v>0</v>
      </c>
      <c r="J23" s="433">
        <f>+I23-H23</f>
        <v>0</v>
      </c>
    </row>
    <row r="24" spans="6:10" x14ac:dyDescent="0.25">
      <c r="F24" s="16" t="s">
        <v>1051</v>
      </c>
      <c r="G24" s="427">
        <v>0</v>
      </c>
      <c r="H24" s="427">
        <v>0</v>
      </c>
      <c r="I24" s="427">
        <v>0</v>
      </c>
      <c r="J24" s="433">
        <f>+I24-H24</f>
        <v>0</v>
      </c>
    </row>
    <row r="25" spans="6:10" x14ac:dyDescent="0.25">
      <c r="F25" s="26" t="s">
        <v>1052</v>
      </c>
      <c r="G25" s="428">
        <v>0</v>
      </c>
      <c r="H25" s="428">
        <v>0</v>
      </c>
      <c r="I25" s="428">
        <v>0</v>
      </c>
      <c r="J25" s="432">
        <f>+I25-H25</f>
        <v>0</v>
      </c>
    </row>
    <row r="26" spans="6:10" ht="20.100000000000001" customHeight="1" x14ac:dyDescent="0.25">
      <c r="F26" s="514" t="s">
        <v>1053</v>
      </c>
      <c r="G26" s="15">
        <f>IF(COUNT(G21:G25),SUM(G21:G25),"")</f>
        <v>22173216</v>
      </c>
      <c r="H26" s="15">
        <f>IF(COUNT(H21:H25),SUM(H21:H25),"")</f>
        <v>22173216</v>
      </c>
      <c r="I26" s="15">
        <f>IF(COUNT(I21:I25),SUM(I21:I25),"")</f>
        <v>22287754</v>
      </c>
      <c r="J26" s="15">
        <f>IF(COUNT(J21:J25),SUM(J21:J25),"")</f>
        <v>114538</v>
      </c>
    </row>
    <row r="27" spans="6:10" ht="20.100000000000001" customHeight="1" x14ac:dyDescent="0.25">
      <c r="F27" s="722" t="s">
        <v>52</v>
      </c>
      <c r="G27" s="723"/>
      <c r="H27" s="723"/>
      <c r="I27" s="724"/>
      <c r="J27" s="725"/>
    </row>
    <row r="28" spans="6:10" x14ac:dyDescent="0.25">
      <c r="F28" s="737" t="s">
        <v>1058</v>
      </c>
      <c r="G28" s="738"/>
      <c r="H28" s="739"/>
      <c r="I28" s="425">
        <v>0</v>
      </c>
      <c r="J28" s="726"/>
    </row>
    <row r="29" spans="6:10" x14ac:dyDescent="0.25">
      <c r="F29" s="526" t="s">
        <v>1054</v>
      </c>
      <c r="G29" s="527"/>
      <c r="H29" s="528"/>
      <c r="I29" s="427">
        <v>0</v>
      </c>
      <c r="J29" s="726"/>
    </row>
    <row r="30" spans="6:10" x14ac:dyDescent="0.25">
      <c r="F30" s="526" t="s">
        <v>1055</v>
      </c>
      <c r="G30" s="527"/>
      <c r="H30" s="528"/>
      <c r="I30" s="427">
        <v>0</v>
      </c>
      <c r="J30" s="726"/>
    </row>
    <row r="31" spans="6:10" x14ac:dyDescent="0.25">
      <c r="F31" s="529" t="s">
        <v>1057</v>
      </c>
      <c r="G31" s="530"/>
      <c r="H31" s="531"/>
      <c r="I31" s="428">
        <v>67572</v>
      </c>
      <c r="J31" s="726"/>
    </row>
    <row r="32" spans="6:10" ht="20.100000000000001" customHeight="1" x14ac:dyDescent="0.25">
      <c r="F32" s="718" t="s">
        <v>1056</v>
      </c>
      <c r="G32" s="719"/>
      <c r="H32" s="720"/>
      <c r="I32" s="15">
        <f>IF(COUNT(I28:I31,I26),SUM(I28:I31)+SUM(I26),"")</f>
        <v>22355326</v>
      </c>
      <c r="J32" s="727"/>
    </row>
    <row r="33" x14ac:dyDescent="0.25"/>
    <row r="34" hidden="1" x14ac:dyDescent="0.25"/>
  </sheetData>
  <sheetProtection algorithmName="SHA-512" hashValue="FXoryXnVwlGXko+z4sM84lkU+TE0190kMJuCyfxZoO+Dv9yus61PctHr0339BuhqcR7+ISNtc7cKOGVU0TybzA==" saltValue="Nx/sgOBoA91gFkbt875H3Q==" spinCount="100000" sheet="1" objects="1" scenarios="1"/>
  <mergeCells count="8">
    <mergeCell ref="F10:I10"/>
    <mergeCell ref="F11:J11"/>
    <mergeCell ref="G13:J13"/>
    <mergeCell ref="G17:J17"/>
    <mergeCell ref="F27:I27"/>
    <mergeCell ref="J27:J32"/>
    <mergeCell ref="F28:H28"/>
    <mergeCell ref="F32:H32"/>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1:J69"/>
  <sheetViews>
    <sheetView showGridLines="0" topLeftCell="D9" workbookViewId="0">
      <selection activeCell="D9" sqref="D9"/>
    </sheetView>
  </sheetViews>
  <sheetFormatPr defaultColWidth="0" defaultRowHeight="15" customHeight="1" zeroHeight="1" x14ac:dyDescent="0.25"/>
  <cols>
    <col min="1" max="3" width="9.140625" hidden="1" customWidth="1"/>
    <col min="4" max="4" width="2.7109375" customWidth="1"/>
    <col min="5" max="5" width="43.140625" customWidth="1"/>
    <col min="6" max="8" width="16.7109375" customWidth="1"/>
    <col min="9" max="9" width="20.7109375" customWidth="1"/>
    <col min="10" max="10" width="2.7109375" customWidth="1"/>
    <col min="11" max="16384" width="9.140625"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37.5" hidden="1" customHeight="1" x14ac:dyDescent="0.25">
      <c r="E8" s="27"/>
    </row>
    <row r="9" spans="5:9" ht="36.950000000000003" customHeight="1" x14ac:dyDescent="0.25"/>
    <row r="10" spans="5:9" ht="20.100000000000001" customHeight="1" x14ac:dyDescent="0.25">
      <c r="E10" s="699" t="s">
        <v>366</v>
      </c>
      <c r="F10" s="700"/>
      <c r="G10" s="700"/>
      <c r="H10" s="701"/>
      <c r="I10" s="176" t="str">
        <f>TEXT(DATE('General Info'!$G$11,VALUE('General Info'!$E$11),'General Info'!$F$11),"MMMM DD, YYYY")</f>
        <v>September 30, 2017</v>
      </c>
    </row>
    <row r="11" spans="5:9" ht="30" x14ac:dyDescent="0.25">
      <c r="E11" s="175" t="s">
        <v>1</v>
      </c>
      <c r="F11" s="175" t="s">
        <v>2</v>
      </c>
      <c r="G11" s="175" t="s">
        <v>3</v>
      </c>
      <c r="H11" s="175" t="s">
        <v>4</v>
      </c>
      <c r="I11" s="175" t="s">
        <v>5</v>
      </c>
    </row>
    <row r="12" spans="5:9" ht="20.100000000000001" customHeight="1" x14ac:dyDescent="0.25">
      <c r="E12" s="2" t="s">
        <v>6</v>
      </c>
      <c r="F12" s="698"/>
      <c r="G12" s="698"/>
      <c r="H12" s="698"/>
      <c r="I12" s="698"/>
    </row>
    <row r="13" spans="5:9" x14ac:dyDescent="0.25">
      <c r="E13" s="518" t="s">
        <v>1074</v>
      </c>
      <c r="F13" s="436">
        <v>2421382</v>
      </c>
      <c r="G13" s="436">
        <v>6409978</v>
      </c>
      <c r="H13" s="437">
        <v>2803262</v>
      </c>
      <c r="I13" s="278">
        <f>G13-H13</f>
        <v>3606716</v>
      </c>
    </row>
    <row r="14" spans="5:9" x14ac:dyDescent="0.25">
      <c r="E14" s="519" t="s">
        <v>1075</v>
      </c>
      <c r="F14" s="438">
        <v>78000</v>
      </c>
      <c r="G14" s="438">
        <v>78000</v>
      </c>
      <c r="H14" s="438">
        <v>57812</v>
      </c>
      <c r="I14" s="278">
        <f>G14-H14</f>
        <v>20188</v>
      </c>
    </row>
    <row r="15" spans="5:9" x14ac:dyDescent="0.25">
      <c r="E15" s="519" t="s">
        <v>1076</v>
      </c>
      <c r="F15" s="439">
        <v>20000</v>
      </c>
      <c r="G15" s="439">
        <v>20000</v>
      </c>
      <c r="H15" s="438">
        <v>29157</v>
      </c>
      <c r="I15" s="278">
        <f>G15-H15</f>
        <v>-9157</v>
      </c>
    </row>
    <row r="16" spans="5:9" x14ac:dyDescent="0.25">
      <c r="E16" s="5" t="s">
        <v>368</v>
      </c>
      <c r="F16" s="439">
        <v>347000</v>
      </c>
      <c r="G16" s="439">
        <v>347000</v>
      </c>
      <c r="H16" s="438">
        <v>76914</v>
      </c>
      <c r="I16" s="278">
        <f>G16-H16</f>
        <v>270086</v>
      </c>
    </row>
    <row r="17" spans="3:9" x14ac:dyDescent="0.25">
      <c r="E17" s="519" t="s">
        <v>1077</v>
      </c>
      <c r="F17" s="438">
        <v>196000</v>
      </c>
      <c r="G17" s="438">
        <v>196000</v>
      </c>
      <c r="H17" s="438">
        <v>281214</v>
      </c>
      <c r="I17" s="278">
        <f>G17-H17</f>
        <v>-85214</v>
      </c>
    </row>
    <row r="18" spans="3:9" ht="20.100000000000001" customHeight="1" x14ac:dyDescent="0.25">
      <c r="E18" s="517" t="s">
        <v>1078</v>
      </c>
      <c r="F18" s="70">
        <f>IF(COUNT(F13:F17),SUM(F13:F17),"")</f>
        <v>3062382</v>
      </c>
      <c r="G18" s="70">
        <f>IF(COUNT(G13:G17),SUM(G13:G17),"")</f>
        <v>7050978</v>
      </c>
      <c r="H18" s="70">
        <f>IF(COUNT(H13:H17),SUM(H13:H17),"")</f>
        <v>3248359</v>
      </c>
      <c r="I18" s="70">
        <f>IF(COUNT(I13:I17),SUM(I13:I17),"")</f>
        <v>3802619</v>
      </c>
    </row>
    <row r="19" spans="3:9" x14ac:dyDescent="0.25">
      <c r="C19" s="17"/>
      <c r="D19" s="18"/>
      <c r="E19" s="19" t="s">
        <v>369</v>
      </c>
      <c r="F19" s="437">
        <v>0</v>
      </c>
      <c r="G19" s="437">
        <v>0</v>
      </c>
      <c r="H19" s="437">
        <v>0</v>
      </c>
      <c r="I19" s="279">
        <v>0</v>
      </c>
    </row>
    <row r="20" spans="3:9" x14ac:dyDescent="0.25">
      <c r="C20" s="17"/>
      <c r="D20" s="18"/>
      <c r="E20" s="20" t="s">
        <v>1079</v>
      </c>
      <c r="F20" s="438">
        <v>0</v>
      </c>
      <c r="G20" s="438">
        <v>0</v>
      </c>
      <c r="H20" s="438">
        <v>127</v>
      </c>
      <c r="I20" s="278">
        <f>+H20-G20</f>
        <v>127</v>
      </c>
    </row>
    <row r="21" spans="3:9" x14ac:dyDescent="0.25">
      <c r="C21" s="17"/>
      <c r="D21" s="18"/>
      <c r="E21" s="20" t="s">
        <v>1080</v>
      </c>
      <c r="F21" s="438">
        <v>0</v>
      </c>
      <c r="G21" s="438">
        <v>0</v>
      </c>
      <c r="H21" s="438">
        <v>2451</v>
      </c>
      <c r="I21" s="278">
        <f>+H21-G21</f>
        <v>2451</v>
      </c>
    </row>
    <row r="22" spans="3:9" x14ac:dyDescent="0.25">
      <c r="C22" s="17"/>
      <c r="D22" s="18"/>
      <c r="E22" s="20" t="s">
        <v>1081</v>
      </c>
      <c r="F22" s="438">
        <v>2802916</v>
      </c>
      <c r="G22" s="438">
        <v>7234151</v>
      </c>
      <c r="H22" s="438">
        <v>2997529</v>
      </c>
      <c r="I22" s="278">
        <f>+H22-G22</f>
        <v>-4236622</v>
      </c>
    </row>
    <row r="23" spans="3:9" ht="20.100000000000001" customHeight="1" x14ac:dyDescent="0.25">
      <c r="E23" s="517" t="s">
        <v>1082</v>
      </c>
      <c r="F23" s="70">
        <f>IF(COUNT(F19:F22),SUM(F19:F22),"")</f>
        <v>2802916</v>
      </c>
      <c r="G23" s="70">
        <f>IF(COUNT(G19:G22),SUM(G19:G22),"")</f>
        <v>7234151</v>
      </c>
      <c r="H23" s="70">
        <f>IF(COUNT(H19:H22),SUM(H19:H22),"")</f>
        <v>3000107</v>
      </c>
      <c r="I23" s="70">
        <f>IF(COUNT(I19:I22),SUM(I19:I22),"")</f>
        <v>-4234044</v>
      </c>
    </row>
    <row r="24" spans="3:9" ht="30" x14ac:dyDescent="0.25">
      <c r="E24" s="517" t="s">
        <v>1083</v>
      </c>
      <c r="F24" s="70">
        <f>IF(COUNT(F18,F23),SUM(F18)-SUM(F23),"")</f>
        <v>259466</v>
      </c>
      <c r="G24" s="70">
        <f>IF(COUNT(G18,G23),SUM(G18)-SUM(G23),"")</f>
        <v>-183173</v>
      </c>
      <c r="H24" s="70">
        <f>IF(COUNT(H18,H23),SUM(H18)-SUM(H23),"")</f>
        <v>248252</v>
      </c>
      <c r="I24" s="70">
        <f>IF(COUNT(I18,I23),SUM(I18)-SUM(I23),"")</f>
        <v>8036663</v>
      </c>
    </row>
    <row r="25" spans="3:9" ht="20.100000000000001" customHeight="1" x14ac:dyDescent="0.25">
      <c r="E25" s="2" t="s">
        <v>44</v>
      </c>
      <c r="F25" s="740"/>
      <c r="G25" s="740"/>
      <c r="H25" s="740"/>
      <c r="I25" s="740"/>
    </row>
    <row r="26" spans="3:9" x14ac:dyDescent="0.25">
      <c r="E26" s="515" t="s">
        <v>1084</v>
      </c>
      <c r="F26" s="436"/>
      <c r="G26" s="436"/>
      <c r="H26" s="436"/>
      <c r="I26" s="278">
        <f>+H26-G26</f>
        <v>0</v>
      </c>
    </row>
    <row r="27" spans="3:9" x14ac:dyDescent="0.25">
      <c r="E27" s="22" t="s">
        <v>1085</v>
      </c>
      <c r="F27" s="440">
        <v>303466</v>
      </c>
      <c r="G27" s="440">
        <v>303466</v>
      </c>
      <c r="H27" s="440">
        <v>303460</v>
      </c>
      <c r="I27" s="281">
        <f>G27-H27</f>
        <v>6</v>
      </c>
    </row>
    <row r="28" spans="3:9" ht="20.100000000000001" customHeight="1" x14ac:dyDescent="0.25">
      <c r="E28" s="517" t="s">
        <v>1086</v>
      </c>
      <c r="F28" s="70">
        <f>IF(COUNT(F26:F27),SUM(F26)-SUM(F27),"")</f>
        <v>-303466</v>
      </c>
      <c r="G28" s="70">
        <f t="shared" ref="G28:I28" si="0">IF(COUNT(G26:G27),SUM(G26)-SUM(G27),"")</f>
        <v>-303466</v>
      </c>
      <c r="H28" s="70">
        <f t="shared" si="0"/>
        <v>-303460</v>
      </c>
      <c r="I28" s="70">
        <f t="shared" si="0"/>
        <v>-6</v>
      </c>
    </row>
    <row r="29" spans="3:9" ht="45" x14ac:dyDescent="0.25">
      <c r="E29" s="517" t="s">
        <v>1087</v>
      </c>
      <c r="F29" s="70">
        <f>IF(COUNT(F24,F28),SUM(F24)+SUM(F28),"")</f>
        <v>-44000</v>
      </c>
      <c r="G29" s="70">
        <f>IF(COUNT(G24,G28),SUM(G24)+SUM(G28),"")</f>
        <v>-486639</v>
      </c>
      <c r="H29" s="70">
        <f>IF(COUNT(H24,H28),SUM(H24)+SUM(H28),"")</f>
        <v>-55208</v>
      </c>
      <c r="I29" s="70">
        <f>IF(COUNT(I24,I28),SUM(I24)+SUM(I28),"")</f>
        <v>8036657</v>
      </c>
    </row>
    <row r="30" spans="3:9" x14ac:dyDescent="0.25">
      <c r="E30" s="20" t="s">
        <v>1088</v>
      </c>
      <c r="F30" s="439">
        <v>982067</v>
      </c>
      <c r="G30" s="439">
        <v>982067</v>
      </c>
      <c r="H30" s="439">
        <v>982067</v>
      </c>
      <c r="I30" s="280">
        <f>-H30+G30</f>
        <v>0</v>
      </c>
    </row>
    <row r="31" spans="3:9" x14ac:dyDescent="0.25">
      <c r="E31" s="20" t="s">
        <v>1089</v>
      </c>
      <c r="F31" s="439"/>
      <c r="G31" s="439">
        <v>474500</v>
      </c>
      <c r="H31" s="439">
        <v>474500</v>
      </c>
      <c r="I31" s="280">
        <f>-H31+G31</f>
        <v>0</v>
      </c>
    </row>
    <row r="32" spans="3:9" ht="30" x14ac:dyDescent="0.25">
      <c r="E32" s="23" t="s">
        <v>1090</v>
      </c>
      <c r="F32" s="439">
        <v>0</v>
      </c>
      <c r="G32" s="440">
        <v>0</v>
      </c>
      <c r="H32" s="440">
        <v>5312</v>
      </c>
      <c r="I32" s="280">
        <f>-H32+G32</f>
        <v>-5312</v>
      </c>
    </row>
    <row r="33" spans="1:9" x14ac:dyDescent="0.25">
      <c r="E33" s="22" t="s">
        <v>1091</v>
      </c>
      <c r="F33" s="440">
        <v>0</v>
      </c>
      <c r="G33" s="440">
        <v>0</v>
      </c>
      <c r="H33" s="440">
        <v>0</v>
      </c>
      <c r="I33" s="280">
        <f>-H33+G33</f>
        <v>0</v>
      </c>
    </row>
    <row r="34" spans="1:9" ht="20.100000000000001" customHeight="1" x14ac:dyDescent="0.25">
      <c r="E34" s="517" t="s">
        <v>1092</v>
      </c>
      <c r="F34" s="70">
        <f>IF(COUNT(F29:F33),SUM(F29:F33),"")</f>
        <v>938067</v>
      </c>
      <c r="G34" s="70">
        <f>IF(COUNT(G29:G33),SUM(G29:G33),"")</f>
        <v>969928</v>
      </c>
      <c r="H34" s="70">
        <f>IF(COUNT(H29:H33),SUM(H29:H33),"")</f>
        <v>1406671</v>
      </c>
      <c r="I34" s="70">
        <f>IF(COUNT(I29:I33),SUM(I29:I33),"")</f>
        <v>8031345</v>
      </c>
    </row>
    <row r="35" spans="1:9" ht="20.100000000000001" customHeight="1" x14ac:dyDescent="0.25">
      <c r="E35" s="702" t="s">
        <v>52</v>
      </c>
      <c r="F35" s="703"/>
      <c r="G35" s="703"/>
      <c r="H35" s="704"/>
      <c r="I35" s="705"/>
    </row>
    <row r="36" spans="1:9" x14ac:dyDescent="0.25">
      <c r="E36" s="741" t="s">
        <v>1093</v>
      </c>
      <c r="F36" s="742"/>
      <c r="G36" s="743"/>
      <c r="H36" s="425">
        <v>303458</v>
      </c>
      <c r="I36" s="706"/>
    </row>
    <row r="37" spans="1:9" x14ac:dyDescent="0.25">
      <c r="E37" s="532" t="s">
        <v>1094</v>
      </c>
      <c r="F37" s="533"/>
      <c r="G37" s="534"/>
      <c r="H37" s="427">
        <v>0</v>
      </c>
      <c r="I37" s="706"/>
    </row>
    <row r="38" spans="1:9" x14ac:dyDescent="0.25">
      <c r="E38" s="532" t="s">
        <v>1095</v>
      </c>
      <c r="F38" s="533"/>
      <c r="G38" s="534"/>
      <c r="H38" s="427">
        <v>1268</v>
      </c>
      <c r="I38" s="706"/>
    </row>
    <row r="39" spans="1:9" x14ac:dyDescent="0.25">
      <c r="E39" s="535" t="s">
        <v>1096</v>
      </c>
      <c r="F39" s="536"/>
      <c r="G39" s="537"/>
      <c r="H39" s="428">
        <v>2709</v>
      </c>
      <c r="I39" s="706"/>
    </row>
    <row r="40" spans="1:9" ht="20.100000000000001" customHeight="1" x14ac:dyDescent="0.25">
      <c r="A40" s="282"/>
      <c r="B40" s="283"/>
      <c r="C40" s="283"/>
      <c r="D40" s="410"/>
      <c r="E40" s="718" t="s">
        <v>1097</v>
      </c>
      <c r="F40" s="719"/>
      <c r="G40" s="720"/>
      <c r="H40" s="15">
        <f>IF(COUNT(H36:H39,H34),SUM(H36:H39)+SUM(H34),"")</f>
        <v>1714106</v>
      </c>
      <c r="I40" s="707"/>
    </row>
    <row r="41" spans="1:9" x14ac:dyDescent="0.25">
      <c r="E41" s="18"/>
      <c r="F41" s="24"/>
      <c r="G41" s="24"/>
      <c r="H41" s="24"/>
      <c r="I41" s="24"/>
    </row>
    <row r="42" spans="1:9" hidden="1" x14ac:dyDescent="0.25">
      <c r="E42" s="18"/>
      <c r="F42" s="25"/>
      <c r="G42" s="25"/>
      <c r="H42" s="25"/>
      <c r="I42" s="25"/>
    </row>
    <row r="43" spans="1:9" ht="15" hidden="1" customHeight="1" x14ac:dyDescent="0.25"/>
    <row r="44" spans="1:9" ht="15" hidden="1" customHeight="1" x14ac:dyDescent="0.25"/>
    <row r="45" spans="1:9" ht="15" hidden="1" customHeight="1" x14ac:dyDescent="0.25"/>
    <row r="46" spans="1:9" ht="15" hidden="1" customHeight="1" x14ac:dyDescent="0.25"/>
    <row r="47" spans="1:9" ht="15" hidden="1" customHeight="1" x14ac:dyDescent="0.25"/>
    <row r="48" spans="1:9"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sheetData>
  <sheetProtection algorithmName="SHA-512" hashValue="iwCXaSPfGUmCREq0mBN8sqXr3TrPiyutm6QK66vPnJ8aNuXsETkHea7TxLFYfbyFeoLJuTN+iCemiXQF2wxy/w==" saltValue="oaH2ToeSfv+68dwB2PSVCw==" spinCount="100000" sheet="1" objects="1" scenarios="1"/>
  <mergeCells count="7">
    <mergeCell ref="E10:H10"/>
    <mergeCell ref="F12:I12"/>
    <mergeCell ref="F25:I25"/>
    <mergeCell ref="E35:H35"/>
    <mergeCell ref="I35:I40"/>
    <mergeCell ref="E36:G36"/>
    <mergeCell ref="E40:G40"/>
  </mergeCell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E1:U172"/>
  <sheetViews>
    <sheetView showGridLines="0" topLeftCell="F9"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6.85546875" style="27" customWidth="1"/>
    <col min="8" max="13" width="16.7109375" style="27" customWidth="1"/>
    <col min="14" max="14" width="20.7109375" style="27" customWidth="1"/>
    <col min="15" max="15" width="2.7109375" customWidth="1"/>
    <col min="16" max="16" width="2.7109375" hidden="1" customWidth="1"/>
    <col min="17"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s="167" customFormat="1" ht="36.950000000000003" customHeight="1" x14ac:dyDescent="0.25"/>
    <row r="10" spans="7:14" ht="20.100000000000001" customHeight="1" x14ac:dyDescent="0.25">
      <c r="G10" s="676" t="s">
        <v>312</v>
      </c>
      <c r="H10" s="677"/>
      <c r="I10" s="677"/>
      <c r="J10" s="677"/>
      <c r="K10" s="677"/>
      <c r="L10" s="677"/>
      <c r="M10" s="677"/>
      <c r="N10" s="305" t="s">
        <v>346</v>
      </c>
    </row>
    <row r="11" spans="7:14" ht="20.100000000000001" customHeight="1" x14ac:dyDescent="0.25">
      <c r="G11" s="682" t="s">
        <v>1</v>
      </c>
      <c r="H11" s="676" t="s">
        <v>237</v>
      </c>
      <c r="I11" s="677"/>
      <c r="J11" s="677"/>
      <c r="K11" s="677"/>
      <c r="L11" s="677"/>
      <c r="M11" s="677"/>
      <c r="N11" s="682" t="s">
        <v>600</v>
      </c>
    </row>
    <row r="12" spans="7:14" ht="37.5" customHeight="1" x14ac:dyDescent="0.25">
      <c r="G12" s="683"/>
      <c r="H12" s="194" t="s">
        <v>333</v>
      </c>
      <c r="I12" s="194" t="s">
        <v>601</v>
      </c>
      <c r="J12" s="194" t="s">
        <v>255</v>
      </c>
      <c r="K12" s="194" t="s">
        <v>254</v>
      </c>
      <c r="L12" s="194" t="s">
        <v>602</v>
      </c>
      <c r="M12" s="194" t="s">
        <v>572</v>
      </c>
      <c r="N12" s="683"/>
    </row>
    <row r="13" spans="7:14" ht="20.100000000000001" customHeight="1" x14ac:dyDescent="0.25">
      <c r="G13" s="10" t="s">
        <v>235</v>
      </c>
      <c r="H13" s="670"/>
      <c r="I13" s="671"/>
      <c r="J13" s="671"/>
      <c r="K13" s="671"/>
      <c r="L13" s="671"/>
      <c r="M13" s="671"/>
      <c r="N13" s="672"/>
    </row>
    <row r="14" spans="7:14" ht="20.100000000000001" customHeight="1" x14ac:dyDescent="0.25">
      <c r="G14" s="155" t="s">
        <v>310</v>
      </c>
      <c r="H14" s="670"/>
      <c r="I14" s="671"/>
      <c r="J14" s="671"/>
      <c r="K14" s="671"/>
      <c r="L14" s="671"/>
      <c r="M14" s="671"/>
      <c r="N14" s="672"/>
    </row>
    <row r="15" spans="7:14" x14ac:dyDescent="0.25">
      <c r="G15" s="306" t="s">
        <v>1143</v>
      </c>
      <c r="H15" s="124">
        <v>15676854</v>
      </c>
      <c r="I15" s="124">
        <v>1849449</v>
      </c>
      <c r="J15" s="124">
        <v>1383973</v>
      </c>
      <c r="K15" s="124">
        <v>663965</v>
      </c>
      <c r="L15" s="124">
        <v>2885781</v>
      </c>
      <c r="M15" s="124">
        <f>IF(COUNT(H15:L15),SUM(H15:L15),"")</f>
        <v>22460022</v>
      </c>
      <c r="N15" s="162">
        <v>14535690</v>
      </c>
    </row>
    <row r="16" spans="7:14" x14ac:dyDescent="0.25">
      <c r="G16" s="307" t="s">
        <v>1144</v>
      </c>
      <c r="H16" s="123">
        <v>114705204</v>
      </c>
      <c r="I16" s="123">
        <v>7754367</v>
      </c>
      <c r="J16" s="123">
        <v>15149896</v>
      </c>
      <c r="K16" s="123">
        <v>179988</v>
      </c>
      <c r="L16" s="123">
        <v>6838153</v>
      </c>
      <c r="M16" s="123">
        <f>IF(COUNT(H16:L16),SUM(H16:L16),"")</f>
        <v>144627608</v>
      </c>
      <c r="N16" s="164">
        <v>94645248</v>
      </c>
    </row>
    <row r="17" spans="7:14" ht="30" x14ac:dyDescent="0.25">
      <c r="G17" s="2" t="s">
        <v>637</v>
      </c>
      <c r="H17" s="670"/>
      <c r="I17" s="671"/>
      <c r="J17" s="671"/>
      <c r="K17" s="671"/>
      <c r="L17" s="671"/>
      <c r="M17" s="671"/>
      <c r="N17" s="672"/>
    </row>
    <row r="18" spans="7:14" x14ac:dyDescent="0.25">
      <c r="G18" s="308" t="s">
        <v>690</v>
      </c>
      <c r="H18" s="123">
        <v>7465419</v>
      </c>
      <c r="I18" s="123">
        <v>873537</v>
      </c>
      <c r="J18" s="123">
        <v>2499204</v>
      </c>
      <c r="K18" s="123">
        <v>88443</v>
      </c>
      <c r="L18" s="123">
        <v>511377</v>
      </c>
      <c r="M18" s="123">
        <f t="shared" ref="M18:M28" si="0">IF(COUNT(H18:L18),SUM(H18:L18),"")</f>
        <v>11437980</v>
      </c>
      <c r="N18" s="164">
        <v>1380060</v>
      </c>
    </row>
    <row r="19" spans="7:14" x14ac:dyDescent="0.25">
      <c r="G19" s="308" t="s">
        <v>1145</v>
      </c>
      <c r="H19" s="123">
        <v>1529064</v>
      </c>
      <c r="I19" s="123">
        <v>0</v>
      </c>
      <c r="J19" s="123">
        <v>0</v>
      </c>
      <c r="K19" s="123">
        <v>0</v>
      </c>
      <c r="L19" s="123">
        <v>0</v>
      </c>
      <c r="M19" s="123">
        <f t="shared" si="0"/>
        <v>1529064</v>
      </c>
      <c r="N19" s="164">
        <v>0</v>
      </c>
    </row>
    <row r="20" spans="7:14" x14ac:dyDescent="0.25">
      <c r="G20" s="308" t="s">
        <v>603</v>
      </c>
      <c r="H20" s="123">
        <v>4088820</v>
      </c>
      <c r="I20" s="123">
        <v>0</v>
      </c>
      <c r="J20" s="123">
        <v>119183</v>
      </c>
      <c r="K20" s="123">
        <v>0</v>
      </c>
      <c r="L20" s="123">
        <v>0</v>
      </c>
      <c r="M20" s="123">
        <f t="shared" si="0"/>
        <v>4208003</v>
      </c>
      <c r="N20" s="164">
        <v>0</v>
      </c>
    </row>
    <row r="21" spans="7:14" ht="30" x14ac:dyDescent="0.25">
      <c r="G21" s="159" t="s">
        <v>604</v>
      </c>
      <c r="H21" s="139">
        <f>IF(COUNT(H18:H20),SUM(H18:H20),"")</f>
        <v>13083303</v>
      </c>
      <c r="I21" s="139">
        <f t="shared" ref="I21:N21" si="1">IF(COUNT(I18:I20),SUM(I18:I20),"")</f>
        <v>873537</v>
      </c>
      <c r="J21" s="139">
        <f t="shared" si="1"/>
        <v>2618387</v>
      </c>
      <c r="K21" s="139">
        <f t="shared" si="1"/>
        <v>88443</v>
      </c>
      <c r="L21" s="139">
        <f t="shared" si="1"/>
        <v>511377</v>
      </c>
      <c r="M21" s="139">
        <f t="shared" si="0"/>
        <v>17175047</v>
      </c>
      <c r="N21" s="139">
        <f t="shared" si="1"/>
        <v>1380060</v>
      </c>
    </row>
    <row r="22" spans="7:14" ht="20.100000000000001" customHeight="1" x14ac:dyDescent="0.25">
      <c r="G22" s="155" t="s">
        <v>502</v>
      </c>
      <c r="H22" s="670"/>
      <c r="I22" s="671"/>
      <c r="J22" s="671"/>
      <c r="K22" s="671"/>
      <c r="L22" s="671"/>
      <c r="M22" s="671"/>
      <c r="N22" s="672"/>
    </row>
    <row r="23" spans="7:14" x14ac:dyDescent="0.25">
      <c r="G23" s="307" t="s">
        <v>213</v>
      </c>
      <c r="H23" s="123">
        <v>10155820</v>
      </c>
      <c r="I23" s="123">
        <v>1328494</v>
      </c>
      <c r="J23" s="123">
        <v>33828</v>
      </c>
      <c r="K23" s="123">
        <v>0</v>
      </c>
      <c r="L23" s="123">
        <v>78441</v>
      </c>
      <c r="M23" s="123">
        <f t="shared" si="0"/>
        <v>11596583</v>
      </c>
      <c r="N23" s="164">
        <v>0</v>
      </c>
    </row>
    <row r="24" spans="7:14" x14ac:dyDescent="0.25">
      <c r="G24" s="307" t="s">
        <v>605</v>
      </c>
      <c r="H24" s="123">
        <v>3367321</v>
      </c>
      <c r="I24" s="123">
        <v>0</v>
      </c>
      <c r="J24" s="123">
        <v>0</v>
      </c>
      <c r="K24" s="123">
        <v>0</v>
      </c>
      <c r="L24" s="123">
        <v>0</v>
      </c>
      <c r="M24" s="123">
        <f t="shared" si="0"/>
        <v>3367321</v>
      </c>
      <c r="N24" s="164">
        <v>12674</v>
      </c>
    </row>
    <row r="25" spans="7:14" x14ac:dyDescent="0.25">
      <c r="G25" s="307" t="s">
        <v>606</v>
      </c>
      <c r="H25" s="123">
        <v>976294</v>
      </c>
      <c r="I25" s="123">
        <v>0</v>
      </c>
      <c r="J25" s="123">
        <v>0</v>
      </c>
      <c r="K25" s="123">
        <v>0</v>
      </c>
      <c r="L25" s="123">
        <v>0</v>
      </c>
      <c r="M25" s="123">
        <f t="shared" si="0"/>
        <v>976294</v>
      </c>
      <c r="N25" s="164">
        <v>0</v>
      </c>
    </row>
    <row r="26" spans="7:14" ht="20.100000000000001" customHeight="1" x14ac:dyDescent="0.25">
      <c r="G26" s="155" t="s">
        <v>607</v>
      </c>
      <c r="H26" s="139">
        <f>IF(COUNT(H23:H25),SUM(H23:H25),"")</f>
        <v>14499435</v>
      </c>
      <c r="I26" s="139">
        <f t="shared" ref="I26:N26" si="2">IF(COUNT(I23:I25),SUM(I23:I25),"")</f>
        <v>1328494</v>
      </c>
      <c r="J26" s="139">
        <f t="shared" si="2"/>
        <v>33828</v>
      </c>
      <c r="K26" s="139">
        <f t="shared" si="2"/>
        <v>0</v>
      </c>
      <c r="L26" s="139">
        <f t="shared" si="2"/>
        <v>78441</v>
      </c>
      <c r="M26" s="139">
        <f t="shared" si="0"/>
        <v>15940198</v>
      </c>
      <c r="N26" s="139">
        <f t="shared" si="2"/>
        <v>12674</v>
      </c>
    </row>
    <row r="27" spans="7:14" x14ac:dyDescent="0.25">
      <c r="G27" s="309" t="s">
        <v>1146</v>
      </c>
      <c r="H27" s="307">
        <v>1028886</v>
      </c>
      <c r="I27" s="307">
        <v>23220</v>
      </c>
      <c r="J27" s="307">
        <v>57145</v>
      </c>
      <c r="K27" s="307"/>
      <c r="L27" s="307"/>
      <c r="M27" s="307">
        <f t="shared" si="0"/>
        <v>1109251</v>
      </c>
      <c r="N27" s="307"/>
    </row>
    <row r="28" spans="7:14" x14ac:dyDescent="0.25">
      <c r="G28" s="309" t="s">
        <v>608</v>
      </c>
      <c r="H28" s="307">
        <v>0</v>
      </c>
      <c r="I28" s="307">
        <v>0</v>
      </c>
      <c r="J28" s="307">
        <v>0</v>
      </c>
      <c r="K28" s="307">
        <v>0</v>
      </c>
      <c r="L28" s="307">
        <v>21263</v>
      </c>
      <c r="M28" s="307">
        <f t="shared" si="0"/>
        <v>21263</v>
      </c>
      <c r="N28" s="307">
        <v>2360065</v>
      </c>
    </row>
    <row r="29" spans="7:14" ht="20.100000000000001" customHeight="1" x14ac:dyDescent="0.25">
      <c r="G29" s="310" t="s">
        <v>309</v>
      </c>
      <c r="H29" s="139">
        <f>IF(COUNT(H15:H16,H21,H26,H27,H28),SUM(H15:H16,H21,H26,H27,H28),"")</f>
        <v>158993682</v>
      </c>
      <c r="I29" s="139">
        <f t="shared" ref="I29:N29" si="3">IF(COUNT(I15:I16,I21,I26,I27,I28),SUM(I15:I16,I21,I26,I27,I28),"")</f>
        <v>11829067</v>
      </c>
      <c r="J29" s="139">
        <f t="shared" si="3"/>
        <v>19243229</v>
      </c>
      <c r="K29" s="139">
        <f t="shared" si="3"/>
        <v>932396</v>
      </c>
      <c r="L29" s="139">
        <f t="shared" si="3"/>
        <v>10335015</v>
      </c>
      <c r="M29" s="139">
        <f t="shared" si="3"/>
        <v>201333389</v>
      </c>
      <c r="N29" s="139">
        <f t="shared" si="3"/>
        <v>112933737</v>
      </c>
    </row>
    <row r="30" spans="7:14" ht="20.100000000000001" customHeight="1" x14ac:dyDescent="0.25">
      <c r="G30" s="311" t="s">
        <v>308</v>
      </c>
      <c r="H30" s="673"/>
      <c r="I30" s="674"/>
      <c r="J30" s="674"/>
      <c r="K30" s="674"/>
      <c r="L30" s="674"/>
      <c r="M30" s="674"/>
      <c r="N30" s="675"/>
    </row>
    <row r="31" spans="7:14" x14ac:dyDescent="0.25">
      <c r="G31" s="307" t="s">
        <v>307</v>
      </c>
      <c r="H31" s="123">
        <v>20417051</v>
      </c>
      <c r="I31" s="123">
        <v>544143</v>
      </c>
      <c r="J31" s="123">
        <v>1055404</v>
      </c>
      <c r="K31" s="123">
        <v>0</v>
      </c>
      <c r="L31" s="123">
        <v>0</v>
      </c>
      <c r="M31" s="123">
        <f t="shared" ref="M31:M44" si="4">IF(COUNT(H31:L31),SUM(H31:L31),"")</f>
        <v>22016598</v>
      </c>
      <c r="N31" s="164">
        <v>0</v>
      </c>
    </row>
    <row r="32" spans="7:14" x14ac:dyDescent="0.25">
      <c r="G32" s="307" t="s">
        <v>306</v>
      </c>
      <c r="H32" s="123">
        <v>61500000</v>
      </c>
      <c r="I32" s="123">
        <v>0</v>
      </c>
      <c r="J32" s="123">
        <v>220876</v>
      </c>
      <c r="K32" s="123">
        <v>0</v>
      </c>
      <c r="L32" s="123">
        <v>2407808</v>
      </c>
      <c r="M32" s="123">
        <f t="shared" si="4"/>
        <v>64128684</v>
      </c>
      <c r="N32" s="164">
        <v>0</v>
      </c>
    </row>
    <row r="33" spans="7:14" x14ac:dyDescent="0.25">
      <c r="G33" s="307" t="s">
        <v>609</v>
      </c>
      <c r="H33" s="123">
        <v>3320</v>
      </c>
      <c r="I33" s="123">
        <v>0</v>
      </c>
      <c r="J33" s="123">
        <v>3176396</v>
      </c>
      <c r="K33" s="123">
        <v>0</v>
      </c>
      <c r="L33" s="123">
        <v>0</v>
      </c>
      <c r="M33" s="123">
        <f t="shared" si="4"/>
        <v>3179716</v>
      </c>
      <c r="N33" s="164">
        <v>0</v>
      </c>
    </row>
    <row r="34" spans="7:14" x14ac:dyDescent="0.25">
      <c r="G34" s="307" t="s">
        <v>610</v>
      </c>
      <c r="H34" s="123">
        <v>12905631</v>
      </c>
      <c r="I34" s="123">
        <v>0</v>
      </c>
      <c r="J34" s="123">
        <v>0</v>
      </c>
      <c r="K34" s="123">
        <v>0</v>
      </c>
      <c r="L34" s="123">
        <v>0</v>
      </c>
      <c r="M34" s="123">
        <f t="shared" si="4"/>
        <v>12905631</v>
      </c>
      <c r="N34" s="164">
        <v>0</v>
      </c>
    </row>
    <row r="35" spans="7:14" ht="20.100000000000001" customHeight="1" x14ac:dyDescent="0.25">
      <c r="G35" s="310" t="s">
        <v>304</v>
      </c>
      <c r="H35" s="139">
        <f>IF(COUNT(H31:H34),SUM(H31:H34),"")</f>
        <v>94826002</v>
      </c>
      <c r="I35" s="139">
        <f t="shared" ref="I35:N35" si="5">IF(COUNT(I31:I34),SUM(I31:I34),"")</f>
        <v>544143</v>
      </c>
      <c r="J35" s="139">
        <f t="shared" si="5"/>
        <v>4452676</v>
      </c>
      <c r="K35" s="139">
        <f t="shared" si="5"/>
        <v>0</v>
      </c>
      <c r="L35" s="139">
        <f t="shared" si="5"/>
        <v>2407808</v>
      </c>
      <c r="M35" s="139">
        <f t="shared" si="4"/>
        <v>102230629</v>
      </c>
      <c r="N35" s="139">
        <f t="shared" si="5"/>
        <v>0</v>
      </c>
    </row>
    <row r="36" spans="7:14" ht="20.100000000000001" customHeight="1" x14ac:dyDescent="0.25">
      <c r="G36" s="311" t="s">
        <v>305</v>
      </c>
      <c r="H36" s="673"/>
      <c r="I36" s="674"/>
      <c r="J36" s="674"/>
      <c r="K36" s="674"/>
      <c r="L36" s="674"/>
      <c r="M36" s="674"/>
      <c r="N36" s="675"/>
    </row>
    <row r="37" spans="7:14" x14ac:dyDescent="0.25">
      <c r="G37" s="314" t="s">
        <v>1147</v>
      </c>
      <c r="H37" s="124">
        <v>4332342</v>
      </c>
      <c r="I37" s="124">
        <v>4376053</v>
      </c>
      <c r="J37" s="124">
        <v>213944</v>
      </c>
      <c r="K37" s="124">
        <v>8523858</v>
      </c>
      <c r="L37" s="124">
        <v>12342884</v>
      </c>
      <c r="M37" s="124">
        <f t="shared" si="4"/>
        <v>29789081</v>
      </c>
      <c r="N37" s="162">
        <v>1846640</v>
      </c>
    </row>
    <row r="38" spans="7:14" x14ac:dyDescent="0.25">
      <c r="G38" s="315" t="s">
        <v>611</v>
      </c>
      <c r="H38" s="123">
        <v>14246973</v>
      </c>
      <c r="I38" s="123">
        <v>0</v>
      </c>
      <c r="J38" s="123">
        <v>618198</v>
      </c>
      <c r="K38" s="123">
        <v>151640084</v>
      </c>
      <c r="L38" s="123">
        <v>103776412</v>
      </c>
      <c r="M38" s="123">
        <f t="shared" si="4"/>
        <v>270281667</v>
      </c>
      <c r="N38" s="164">
        <v>15123620</v>
      </c>
    </row>
    <row r="39" spans="7:14" x14ac:dyDescent="0.25">
      <c r="G39" s="315" t="s">
        <v>612</v>
      </c>
      <c r="H39" s="123">
        <v>2953538</v>
      </c>
      <c r="I39" s="123">
        <v>25345178</v>
      </c>
      <c r="J39" s="123">
        <v>115372</v>
      </c>
      <c r="K39" s="123">
        <v>5462601</v>
      </c>
      <c r="L39" s="123">
        <v>54774334</v>
      </c>
      <c r="M39" s="123">
        <f t="shared" si="4"/>
        <v>88651023</v>
      </c>
      <c r="N39" s="164">
        <v>3093519</v>
      </c>
    </row>
    <row r="40" spans="7:14" x14ac:dyDescent="0.25">
      <c r="G40" s="315" t="s">
        <v>1148</v>
      </c>
      <c r="H40" s="123">
        <v>16898017</v>
      </c>
      <c r="I40" s="123">
        <v>11203456</v>
      </c>
      <c r="J40" s="123">
        <v>26199196</v>
      </c>
      <c r="K40" s="123">
        <v>8657721</v>
      </c>
      <c r="L40" s="123">
        <v>7964595</v>
      </c>
      <c r="M40" s="123">
        <f t="shared" si="4"/>
        <v>70922985</v>
      </c>
      <c r="N40" s="164">
        <v>11594604</v>
      </c>
    </row>
    <row r="41" spans="7:14" x14ac:dyDescent="0.25">
      <c r="G41" s="315" t="s">
        <v>1149</v>
      </c>
      <c r="H41" s="255">
        <v>852774694</v>
      </c>
      <c r="I41" s="255">
        <v>185330317</v>
      </c>
      <c r="J41" s="255">
        <v>0</v>
      </c>
      <c r="K41" s="255">
        <v>0</v>
      </c>
      <c r="L41" s="255">
        <v>0</v>
      </c>
      <c r="M41" s="255">
        <f t="shared" si="4"/>
        <v>1038105011</v>
      </c>
      <c r="N41" s="257">
        <v>0</v>
      </c>
    </row>
    <row r="42" spans="7:14" x14ac:dyDescent="0.25">
      <c r="G42" s="316" t="s">
        <v>613</v>
      </c>
      <c r="H42" s="317">
        <v>70496468</v>
      </c>
      <c r="I42" s="317">
        <v>1089740</v>
      </c>
      <c r="J42" s="317">
        <v>0</v>
      </c>
      <c r="K42" s="317">
        <v>0</v>
      </c>
      <c r="L42" s="317">
        <v>14561753</v>
      </c>
      <c r="M42" s="317">
        <f t="shared" si="4"/>
        <v>86147961</v>
      </c>
      <c r="N42" s="318">
        <v>290752</v>
      </c>
    </row>
    <row r="43" spans="7:14" x14ac:dyDescent="0.25">
      <c r="G43" s="316" t="s">
        <v>614</v>
      </c>
      <c r="H43" s="317">
        <v>-378344568</v>
      </c>
      <c r="I43" s="317">
        <v>-100706499</v>
      </c>
      <c r="J43" s="317">
        <v>-20850474</v>
      </c>
      <c r="K43" s="317">
        <v>-91080424</v>
      </c>
      <c r="L43" s="317">
        <v>-78831700</v>
      </c>
      <c r="M43" s="317">
        <f t="shared" si="4"/>
        <v>-669813665</v>
      </c>
      <c r="N43" s="318">
        <v>-20936217</v>
      </c>
    </row>
    <row r="44" spans="7:14" ht="20.100000000000001" customHeight="1" x14ac:dyDescent="0.25">
      <c r="G44" s="319" t="s">
        <v>615</v>
      </c>
      <c r="H44" s="139">
        <f>IF(COUNT(H37:H43),SUM(H37:H43),"")</f>
        <v>583357464</v>
      </c>
      <c r="I44" s="139">
        <f t="shared" ref="I44:N44" si="6">IF(COUNT(I37:I43),SUM(I37:I43),"")</f>
        <v>126638245</v>
      </c>
      <c r="J44" s="139">
        <f t="shared" si="6"/>
        <v>6296236</v>
      </c>
      <c r="K44" s="139">
        <f t="shared" si="6"/>
        <v>83203840</v>
      </c>
      <c r="L44" s="139">
        <f t="shared" si="6"/>
        <v>114588278</v>
      </c>
      <c r="M44" s="139">
        <f t="shared" si="4"/>
        <v>914084063</v>
      </c>
      <c r="N44" s="139">
        <f t="shared" si="6"/>
        <v>11012918</v>
      </c>
    </row>
    <row r="45" spans="7:14" ht="20.100000000000001" customHeight="1" x14ac:dyDescent="0.25">
      <c r="G45" s="310" t="s">
        <v>304</v>
      </c>
      <c r="H45" s="139">
        <f>IF(COUNT(H35,H44),SUM(H35,H44),"")</f>
        <v>678183466</v>
      </c>
      <c r="I45" s="139">
        <f t="shared" ref="I45:N45" si="7">IF(COUNT(I35,I44),SUM(I35,I44),"")</f>
        <v>127182388</v>
      </c>
      <c r="J45" s="139">
        <f t="shared" si="7"/>
        <v>10748912</v>
      </c>
      <c r="K45" s="139">
        <f t="shared" si="7"/>
        <v>83203840</v>
      </c>
      <c r="L45" s="139">
        <f t="shared" si="7"/>
        <v>116996086</v>
      </c>
      <c r="M45" s="139">
        <f t="shared" si="7"/>
        <v>1016314692</v>
      </c>
      <c r="N45" s="139">
        <f t="shared" si="7"/>
        <v>11012918</v>
      </c>
    </row>
    <row r="46" spans="7:14" ht="20.100000000000001" customHeight="1" x14ac:dyDescent="0.25">
      <c r="G46" s="310" t="s">
        <v>303</v>
      </c>
      <c r="H46" s="139">
        <f>IF(COUNT(H29,H45),SUM(H29,H45),"")</f>
        <v>837177148</v>
      </c>
      <c r="I46" s="139">
        <f t="shared" ref="I46:N46" si="8">IF(COUNT(I29,I45),SUM(I29,I45),"")</f>
        <v>139011455</v>
      </c>
      <c r="J46" s="139">
        <f t="shared" si="8"/>
        <v>29992141</v>
      </c>
      <c r="K46" s="139">
        <f t="shared" si="8"/>
        <v>84136236</v>
      </c>
      <c r="L46" s="139">
        <f t="shared" si="8"/>
        <v>127331101</v>
      </c>
      <c r="M46" s="139">
        <f t="shared" si="8"/>
        <v>1217648081</v>
      </c>
      <c r="N46" s="139">
        <f t="shared" si="8"/>
        <v>123946655</v>
      </c>
    </row>
    <row r="47" spans="7:14" ht="20.100000000000001" customHeight="1" x14ac:dyDescent="0.25">
      <c r="G47" s="320" t="s">
        <v>616</v>
      </c>
      <c r="H47" s="744">
        <v>0</v>
      </c>
      <c r="I47" s="745"/>
      <c r="J47" s="745"/>
      <c r="K47" s="745"/>
      <c r="L47" s="745"/>
      <c r="M47" s="745"/>
      <c r="N47" s="746"/>
    </row>
    <row r="48" spans="7:14" x14ac:dyDescent="0.25">
      <c r="G48" s="541" t="s">
        <v>1150</v>
      </c>
      <c r="H48" s="157">
        <v>7893331</v>
      </c>
      <c r="I48" s="157">
        <v>392478</v>
      </c>
      <c r="J48" s="157">
        <v>0</v>
      </c>
      <c r="K48" s="157">
        <v>0</v>
      </c>
      <c r="L48" s="157">
        <v>0</v>
      </c>
      <c r="M48" s="157">
        <f>IF(COUNT(H48:L48),SUM(H48:L48),"")</f>
        <v>8285809</v>
      </c>
      <c r="N48" s="157">
        <v>0</v>
      </c>
    </row>
    <row r="49" spans="7:14" x14ac:dyDescent="0.25">
      <c r="G49" s="321" t="s">
        <v>617</v>
      </c>
      <c r="H49" s="157">
        <v>5946348</v>
      </c>
      <c r="I49" s="157">
        <v>1226660</v>
      </c>
      <c r="J49" s="157">
        <v>3456950</v>
      </c>
      <c r="K49" s="157">
        <v>0</v>
      </c>
      <c r="L49" s="157">
        <v>1016751</v>
      </c>
      <c r="M49" s="157">
        <f>IF(COUNT(H49:L49),SUM(H49:L49),"")</f>
        <v>11646709</v>
      </c>
      <c r="N49" s="157">
        <v>0</v>
      </c>
    </row>
    <row r="50" spans="7:14" ht="20.100000000000001" customHeight="1" x14ac:dyDescent="0.25">
      <c r="G50" s="320" t="s">
        <v>618</v>
      </c>
      <c r="H50" s="139">
        <f>IF(COUNT(H48:H49),SUM(H48:H49),"")</f>
        <v>13839679</v>
      </c>
      <c r="I50" s="139">
        <f t="shared" ref="I50:N50" si="9">IF(COUNT(I48:I49),SUM(I48:I49),"")</f>
        <v>1619138</v>
      </c>
      <c r="J50" s="139">
        <f t="shared" si="9"/>
        <v>3456950</v>
      </c>
      <c r="K50" s="139">
        <f t="shared" si="9"/>
        <v>0</v>
      </c>
      <c r="L50" s="139">
        <f t="shared" si="9"/>
        <v>1016751</v>
      </c>
      <c r="M50" s="139">
        <f>IF(COUNT(H50:L50),SUM(H50:L50),"")</f>
        <v>19932518</v>
      </c>
      <c r="N50" s="139">
        <f t="shared" si="9"/>
        <v>0</v>
      </c>
    </row>
    <row r="51" spans="7:14" ht="20.100000000000001" customHeight="1" x14ac:dyDescent="0.25">
      <c r="G51" s="322" t="s">
        <v>227</v>
      </c>
      <c r="H51" s="673"/>
      <c r="I51" s="674"/>
      <c r="J51" s="674"/>
      <c r="K51" s="674"/>
      <c r="L51" s="674"/>
      <c r="M51" s="674"/>
      <c r="N51" s="675"/>
    </row>
    <row r="52" spans="7:14" ht="20.100000000000001" customHeight="1" x14ac:dyDescent="0.25">
      <c r="G52" s="311" t="s">
        <v>302</v>
      </c>
      <c r="H52" s="673"/>
      <c r="I52" s="674"/>
      <c r="J52" s="674"/>
      <c r="K52" s="674"/>
      <c r="L52" s="674"/>
      <c r="M52" s="674"/>
      <c r="N52" s="675"/>
    </row>
    <row r="53" spans="7:14" x14ac:dyDescent="0.25">
      <c r="G53" s="312" t="s">
        <v>1151</v>
      </c>
      <c r="H53" s="124">
        <v>18795642</v>
      </c>
      <c r="I53" s="124">
        <v>226046</v>
      </c>
      <c r="J53" s="124">
        <v>486623</v>
      </c>
      <c r="K53" s="124">
        <v>29105</v>
      </c>
      <c r="L53" s="124">
        <v>754437</v>
      </c>
      <c r="M53" s="124">
        <f t="shared" ref="M53:M67" si="10">IF(COUNT(H53:L53),SUM(H53:L53),"")</f>
        <v>20291853</v>
      </c>
      <c r="N53" s="162">
        <v>3740535</v>
      </c>
    </row>
    <row r="54" spans="7:14" x14ac:dyDescent="0.25">
      <c r="G54" s="323" t="s">
        <v>1152</v>
      </c>
      <c r="H54" s="123">
        <v>1071074</v>
      </c>
      <c r="I54" s="123">
        <v>246245</v>
      </c>
      <c r="J54" s="123">
        <v>607933</v>
      </c>
      <c r="K54" s="123">
        <v>0</v>
      </c>
      <c r="L54" s="123">
        <v>254947</v>
      </c>
      <c r="M54" s="123">
        <f t="shared" si="10"/>
        <v>2180199</v>
      </c>
      <c r="N54" s="164">
        <v>794995</v>
      </c>
    </row>
    <row r="55" spans="7:14" x14ac:dyDescent="0.25">
      <c r="G55" s="323" t="s">
        <v>619</v>
      </c>
      <c r="H55" s="123">
        <v>109651</v>
      </c>
      <c r="I55" s="123">
        <v>3595</v>
      </c>
      <c r="J55" s="123">
        <v>50770</v>
      </c>
      <c r="K55" s="123">
        <v>0</v>
      </c>
      <c r="L55" s="123">
        <v>16244</v>
      </c>
      <c r="M55" s="123">
        <f t="shared" si="10"/>
        <v>180260</v>
      </c>
      <c r="N55" s="164">
        <v>53536</v>
      </c>
    </row>
    <row r="56" spans="7:14" x14ac:dyDescent="0.25">
      <c r="G56" s="323" t="s">
        <v>1153</v>
      </c>
      <c r="H56" s="123">
        <v>3650777</v>
      </c>
      <c r="I56" s="123">
        <v>172677</v>
      </c>
      <c r="J56" s="123">
        <v>0</v>
      </c>
      <c r="K56" s="123">
        <v>0</v>
      </c>
      <c r="L56" s="123">
        <v>8167</v>
      </c>
      <c r="M56" s="123">
        <f t="shared" si="10"/>
        <v>3831621</v>
      </c>
      <c r="N56" s="164">
        <v>0</v>
      </c>
    </row>
    <row r="57" spans="7:14" x14ac:dyDescent="0.25">
      <c r="G57" s="324" t="s">
        <v>1154</v>
      </c>
      <c r="H57" s="145">
        <v>0</v>
      </c>
      <c r="I57" s="145">
        <v>0</v>
      </c>
      <c r="J57" s="145">
        <v>0</v>
      </c>
      <c r="K57" s="145">
        <v>86221</v>
      </c>
      <c r="L57" s="145">
        <v>533144</v>
      </c>
      <c r="M57" s="145">
        <f t="shared" si="10"/>
        <v>619365</v>
      </c>
      <c r="N57" s="163">
        <v>0</v>
      </c>
    </row>
    <row r="58" spans="7:14" x14ac:dyDescent="0.25">
      <c r="G58" s="324" t="s">
        <v>1155</v>
      </c>
      <c r="H58" s="145">
        <v>1652757</v>
      </c>
      <c r="I58" s="145">
        <v>0</v>
      </c>
      <c r="J58" s="145">
        <v>757424</v>
      </c>
      <c r="K58" s="145">
        <v>0</v>
      </c>
      <c r="L58" s="145">
        <v>57783</v>
      </c>
      <c r="M58" s="145">
        <f t="shared" si="10"/>
        <v>2467964</v>
      </c>
      <c r="N58" s="163">
        <v>985423</v>
      </c>
    </row>
    <row r="59" spans="7:14" x14ac:dyDescent="0.25">
      <c r="G59" s="324" t="s">
        <v>620</v>
      </c>
      <c r="H59" s="145">
        <v>0</v>
      </c>
      <c r="I59" s="145">
        <v>0</v>
      </c>
      <c r="J59" s="145">
        <v>0</v>
      </c>
      <c r="K59" s="145">
        <v>0</v>
      </c>
      <c r="L59" s="145">
        <v>0</v>
      </c>
      <c r="M59" s="145">
        <f t="shared" si="10"/>
        <v>0</v>
      </c>
      <c r="N59" s="163">
        <v>12594978</v>
      </c>
    </row>
    <row r="60" spans="7:14" x14ac:dyDescent="0.25">
      <c r="G60" s="324" t="s">
        <v>621</v>
      </c>
      <c r="H60" s="145">
        <v>1940563</v>
      </c>
      <c r="I60" s="145">
        <v>0</v>
      </c>
      <c r="J60" s="145">
        <v>0</v>
      </c>
      <c r="K60" s="145">
        <v>0</v>
      </c>
      <c r="L60" s="145">
        <v>0</v>
      </c>
      <c r="M60" s="145">
        <f t="shared" si="10"/>
        <v>1940563</v>
      </c>
      <c r="N60" s="163">
        <v>0</v>
      </c>
    </row>
    <row r="61" spans="7:14" ht="20.100000000000001" customHeight="1" x14ac:dyDescent="0.25">
      <c r="G61" s="311" t="s">
        <v>622</v>
      </c>
      <c r="H61" s="673"/>
      <c r="I61" s="674"/>
      <c r="J61" s="674"/>
      <c r="K61" s="674"/>
      <c r="L61" s="674"/>
      <c r="M61" s="674"/>
      <c r="N61" s="675"/>
    </row>
    <row r="62" spans="7:14" x14ac:dyDescent="0.25">
      <c r="G62" s="324" t="s">
        <v>623</v>
      </c>
      <c r="H62" s="145">
        <v>7525000</v>
      </c>
      <c r="I62" s="145">
        <v>370000</v>
      </c>
      <c r="J62" s="145">
        <v>1250000</v>
      </c>
      <c r="K62" s="145">
        <v>0</v>
      </c>
      <c r="L62" s="145">
        <v>580000</v>
      </c>
      <c r="M62" s="145">
        <f t="shared" si="10"/>
        <v>9725000</v>
      </c>
      <c r="N62" s="163">
        <v>0</v>
      </c>
    </row>
    <row r="63" spans="7:14" x14ac:dyDescent="0.25">
      <c r="G63" s="324" t="s">
        <v>1156</v>
      </c>
      <c r="H63" s="145">
        <v>7897295</v>
      </c>
      <c r="I63" s="145">
        <v>174143</v>
      </c>
      <c r="J63" s="145">
        <v>26280</v>
      </c>
      <c r="K63" s="145">
        <v>0</v>
      </c>
      <c r="L63" s="145">
        <v>35061</v>
      </c>
      <c r="M63" s="145">
        <f t="shared" si="10"/>
        <v>8132779</v>
      </c>
      <c r="N63" s="163">
        <v>0</v>
      </c>
    </row>
    <row r="64" spans="7:14" ht="20.100000000000001" customHeight="1" x14ac:dyDescent="0.25">
      <c r="G64" s="325" t="s">
        <v>624</v>
      </c>
      <c r="H64" s="139">
        <f>IF(COUNT(H62:H63),SUM(H62:H63),"")</f>
        <v>15422295</v>
      </c>
      <c r="I64" s="139">
        <f t="shared" ref="I64:N64" si="11">IF(COUNT(I62:I63),SUM(I62:I63),"")</f>
        <v>544143</v>
      </c>
      <c r="J64" s="139">
        <f t="shared" si="11"/>
        <v>1276280</v>
      </c>
      <c r="K64" s="139">
        <f t="shared" si="11"/>
        <v>0</v>
      </c>
      <c r="L64" s="139">
        <f t="shared" si="11"/>
        <v>615061</v>
      </c>
      <c r="M64" s="139">
        <f t="shared" si="10"/>
        <v>17857779</v>
      </c>
      <c r="N64" s="139">
        <f t="shared" si="11"/>
        <v>0</v>
      </c>
    </row>
    <row r="65" spans="7:14" x14ac:dyDescent="0.25">
      <c r="G65" s="324" t="s">
        <v>625</v>
      </c>
      <c r="H65" s="145">
        <v>0</v>
      </c>
      <c r="I65" s="145">
        <v>0</v>
      </c>
      <c r="J65" s="145">
        <v>0</v>
      </c>
      <c r="K65" s="145">
        <v>0</v>
      </c>
      <c r="L65" s="145">
        <v>0</v>
      </c>
      <c r="M65" s="145">
        <f t="shared" si="10"/>
        <v>0</v>
      </c>
      <c r="N65" s="163">
        <v>11000</v>
      </c>
    </row>
    <row r="66" spans="7:14" x14ac:dyDescent="0.25">
      <c r="G66" s="324" t="s">
        <v>1157</v>
      </c>
      <c r="H66" s="145">
        <v>1110521</v>
      </c>
      <c r="I66" s="145">
        <v>0</v>
      </c>
      <c r="J66" s="145">
        <v>2000</v>
      </c>
      <c r="K66" s="145">
        <v>0</v>
      </c>
      <c r="L66" s="145">
        <v>767269</v>
      </c>
      <c r="M66" s="145">
        <f t="shared" si="10"/>
        <v>1879790</v>
      </c>
      <c r="N66" s="163">
        <v>8524988</v>
      </c>
    </row>
    <row r="67" spans="7:14" x14ac:dyDescent="0.25">
      <c r="G67" s="326" t="s">
        <v>300</v>
      </c>
      <c r="H67" s="145">
        <v>0</v>
      </c>
      <c r="I67" s="145">
        <v>0</v>
      </c>
      <c r="J67" s="145">
        <v>0</v>
      </c>
      <c r="K67" s="145">
        <v>0</v>
      </c>
      <c r="L67" s="145">
        <v>32545</v>
      </c>
      <c r="M67" s="145">
        <f t="shared" si="10"/>
        <v>32545</v>
      </c>
      <c r="N67" s="163">
        <v>0</v>
      </c>
    </row>
    <row r="68" spans="7:14" ht="20.100000000000001" customHeight="1" x14ac:dyDescent="0.25">
      <c r="G68" s="310" t="s">
        <v>301</v>
      </c>
      <c r="H68" s="139">
        <f>IF(COUNT(H53:H60,H64,H65:H67),SUM(H53:H60,H64:H67),"")</f>
        <v>43753280</v>
      </c>
      <c r="I68" s="139">
        <f t="shared" ref="I68:N68" si="12">IF(COUNT(I53:I60,I64,I65:I67),SUM(I53:I60,I64:I67),"")</f>
        <v>1192706</v>
      </c>
      <c r="J68" s="139">
        <f t="shared" si="12"/>
        <v>3181030</v>
      </c>
      <c r="K68" s="139">
        <f t="shared" si="12"/>
        <v>115326</v>
      </c>
      <c r="L68" s="139">
        <f t="shared" si="12"/>
        <v>3039597</v>
      </c>
      <c r="M68" s="139">
        <f t="shared" si="12"/>
        <v>51281939</v>
      </c>
      <c r="N68" s="139">
        <f t="shared" si="12"/>
        <v>26705455</v>
      </c>
    </row>
    <row r="69" spans="7:14" ht="20.100000000000001" customHeight="1" x14ac:dyDescent="0.25">
      <c r="G69" s="311" t="s">
        <v>626</v>
      </c>
      <c r="H69" s="692"/>
      <c r="I69" s="693"/>
      <c r="J69" s="693"/>
      <c r="K69" s="693"/>
      <c r="L69" s="693"/>
      <c r="M69" s="693"/>
      <c r="N69" s="694"/>
    </row>
    <row r="70" spans="7:14" x14ac:dyDescent="0.25">
      <c r="G70" s="312" t="s">
        <v>627</v>
      </c>
      <c r="H70" s="124">
        <v>3800000</v>
      </c>
      <c r="I70" s="124">
        <v>0</v>
      </c>
      <c r="J70" s="124">
        <v>0</v>
      </c>
      <c r="K70" s="124">
        <v>0</v>
      </c>
      <c r="L70" s="124">
        <v>4019613</v>
      </c>
      <c r="M70" s="124">
        <f t="shared" ref="M70:M79" si="13">IF(COUNT(H70:L70),SUM(H70:L70),"")</f>
        <v>7819613</v>
      </c>
      <c r="N70" s="162">
        <v>0</v>
      </c>
    </row>
    <row r="71" spans="7:14" x14ac:dyDescent="0.25">
      <c r="G71" s="323" t="s">
        <v>628</v>
      </c>
      <c r="H71" s="123">
        <v>2006087</v>
      </c>
      <c r="I71" s="123">
        <v>362582</v>
      </c>
      <c r="J71" s="123">
        <v>1199283</v>
      </c>
      <c r="K71" s="123">
        <v>0</v>
      </c>
      <c r="L71" s="123">
        <v>466355</v>
      </c>
      <c r="M71" s="123">
        <f t="shared" si="13"/>
        <v>4034307</v>
      </c>
      <c r="N71" s="164">
        <v>1419845</v>
      </c>
    </row>
    <row r="72" spans="7:14" x14ac:dyDescent="0.25">
      <c r="G72" s="323" t="s">
        <v>629</v>
      </c>
      <c r="H72" s="123">
        <v>31598595</v>
      </c>
      <c r="I72" s="123">
        <v>0</v>
      </c>
      <c r="J72" s="123">
        <v>0</v>
      </c>
      <c r="K72" s="123">
        <v>0</v>
      </c>
      <c r="L72" s="123">
        <v>0</v>
      </c>
      <c r="M72" s="123">
        <f t="shared" si="13"/>
        <v>31598595</v>
      </c>
      <c r="N72" s="164">
        <v>0</v>
      </c>
    </row>
    <row r="73" spans="7:14" x14ac:dyDescent="0.25">
      <c r="G73" s="323" t="s">
        <v>630</v>
      </c>
      <c r="H73" s="123">
        <v>387468000</v>
      </c>
      <c r="I73" s="123">
        <v>19532000</v>
      </c>
      <c r="J73" s="123">
        <v>0</v>
      </c>
      <c r="K73" s="123">
        <v>0</v>
      </c>
      <c r="L73" s="123">
        <v>0</v>
      </c>
      <c r="M73" s="123">
        <f t="shared" si="13"/>
        <v>407000000</v>
      </c>
      <c r="N73" s="164">
        <v>0</v>
      </c>
    </row>
    <row r="74" spans="7:14" x14ac:dyDescent="0.25">
      <c r="G74" s="323" t="s">
        <v>631</v>
      </c>
      <c r="H74" s="123">
        <v>0</v>
      </c>
      <c r="I74" s="123">
        <v>0</v>
      </c>
      <c r="J74" s="123">
        <v>0</v>
      </c>
      <c r="K74" s="123">
        <v>0</v>
      </c>
      <c r="L74" s="123">
        <v>0</v>
      </c>
      <c r="M74" s="123">
        <f t="shared" si="13"/>
        <v>0</v>
      </c>
      <c r="N74" s="164">
        <v>43474000</v>
      </c>
    </row>
    <row r="75" spans="7:14" x14ac:dyDescent="0.25">
      <c r="G75" s="323" t="s">
        <v>1158</v>
      </c>
      <c r="H75" s="123">
        <v>9103489</v>
      </c>
      <c r="I75" s="123">
        <v>1877940</v>
      </c>
      <c r="J75" s="123">
        <v>5292376</v>
      </c>
      <c r="K75" s="123">
        <v>0</v>
      </c>
      <c r="L75" s="123">
        <v>1556581</v>
      </c>
      <c r="M75" s="123">
        <f t="shared" si="13"/>
        <v>17830386</v>
      </c>
      <c r="N75" s="164">
        <v>0</v>
      </c>
    </row>
    <row r="76" spans="7:14" x14ac:dyDescent="0.25">
      <c r="G76" s="323" t="s">
        <v>632</v>
      </c>
      <c r="H76" s="123">
        <v>8017453</v>
      </c>
      <c r="I76" s="123">
        <v>1490000</v>
      </c>
      <c r="J76" s="123">
        <v>5179378</v>
      </c>
      <c r="K76" s="123">
        <v>0</v>
      </c>
      <c r="L76" s="123">
        <v>2417242</v>
      </c>
      <c r="M76" s="123">
        <f t="shared" si="13"/>
        <v>17104073</v>
      </c>
      <c r="N76" s="164">
        <v>5469598</v>
      </c>
    </row>
    <row r="77" spans="7:14" x14ac:dyDescent="0.25">
      <c r="G77" s="323" t="s">
        <v>633</v>
      </c>
      <c r="H77" s="123">
        <v>13874861</v>
      </c>
      <c r="I77" s="123">
        <v>0</v>
      </c>
      <c r="J77" s="123">
        <v>0</v>
      </c>
      <c r="K77" s="123">
        <v>0</v>
      </c>
      <c r="L77" s="123">
        <v>0</v>
      </c>
      <c r="M77" s="123">
        <f t="shared" si="13"/>
        <v>13874861</v>
      </c>
      <c r="N77" s="164">
        <v>0</v>
      </c>
    </row>
    <row r="78" spans="7:14" x14ac:dyDescent="0.25">
      <c r="G78" s="323" t="s">
        <v>634</v>
      </c>
      <c r="H78" s="123">
        <v>0</v>
      </c>
      <c r="I78" s="123">
        <v>0</v>
      </c>
      <c r="J78" s="123">
        <v>2400000</v>
      </c>
      <c r="K78" s="123">
        <v>0</v>
      </c>
      <c r="L78" s="123">
        <v>4960000</v>
      </c>
      <c r="M78" s="123">
        <f t="shared" si="13"/>
        <v>7360000</v>
      </c>
      <c r="N78" s="164">
        <v>0</v>
      </c>
    </row>
    <row r="79" spans="7:14" ht="20.100000000000001" customHeight="1" x14ac:dyDescent="0.25">
      <c r="G79" s="310" t="s">
        <v>635</v>
      </c>
      <c r="H79" s="139">
        <f>IF(COUNT(H70:H78),SUM(H70:H78),"")</f>
        <v>455868485</v>
      </c>
      <c r="I79" s="139">
        <f t="shared" ref="I79:N79" si="14">IF(COUNT(I70:I78),SUM(I70:I78),"")</f>
        <v>23262522</v>
      </c>
      <c r="J79" s="139">
        <f t="shared" si="14"/>
        <v>14071037</v>
      </c>
      <c r="K79" s="139">
        <f t="shared" si="14"/>
        <v>0</v>
      </c>
      <c r="L79" s="139">
        <f t="shared" si="14"/>
        <v>13419791</v>
      </c>
      <c r="M79" s="139">
        <f t="shared" si="13"/>
        <v>506621835</v>
      </c>
      <c r="N79" s="139">
        <f t="shared" si="14"/>
        <v>50363443</v>
      </c>
    </row>
    <row r="80" spans="7:14" ht="20.100000000000001" customHeight="1" x14ac:dyDescent="0.25">
      <c r="G80" s="310" t="s">
        <v>298</v>
      </c>
      <c r="H80" s="139">
        <f>+IF(COUNT(H68,H79),SUM(H68,H79),"")</f>
        <v>499621765</v>
      </c>
      <c r="I80" s="139">
        <f t="shared" ref="I80:N80" si="15">+IF(COUNT(I68,I79),SUM(I68,I79),"")</f>
        <v>24455228</v>
      </c>
      <c r="J80" s="139">
        <f t="shared" si="15"/>
        <v>17252067</v>
      </c>
      <c r="K80" s="139">
        <f t="shared" si="15"/>
        <v>115326</v>
      </c>
      <c r="L80" s="139">
        <f t="shared" si="15"/>
        <v>16459388</v>
      </c>
      <c r="M80" s="139">
        <f t="shared" si="15"/>
        <v>557903774</v>
      </c>
      <c r="N80" s="139">
        <f t="shared" si="15"/>
        <v>77068898</v>
      </c>
    </row>
    <row r="81" spans="7:21" ht="20.100000000000001" customHeight="1" x14ac:dyDescent="0.25">
      <c r="G81" s="320" t="s">
        <v>636</v>
      </c>
      <c r="H81" s="744"/>
      <c r="I81" s="745"/>
      <c r="J81" s="745"/>
      <c r="K81" s="745"/>
      <c r="L81" s="745"/>
      <c r="M81" s="745"/>
      <c r="N81" s="746"/>
    </row>
    <row r="82" spans="7:21" x14ac:dyDescent="0.25">
      <c r="G82" s="327" t="s">
        <v>636</v>
      </c>
      <c r="H82" s="157">
        <v>1178980</v>
      </c>
      <c r="I82" s="157">
        <v>243209</v>
      </c>
      <c r="J82" s="157">
        <v>685408</v>
      </c>
      <c r="K82" s="157">
        <v>0</v>
      </c>
      <c r="L82" s="157">
        <v>201589</v>
      </c>
      <c r="M82" s="157">
        <f t="shared" ref="M82:M90" si="16">IF(COUNT(H82:L82),SUM(H82:L82),"")</f>
        <v>2309186</v>
      </c>
      <c r="N82" s="157">
        <v>0</v>
      </c>
    </row>
    <row r="83" spans="7:21" ht="20.100000000000001" customHeight="1" x14ac:dyDescent="0.25">
      <c r="G83" s="542" t="s">
        <v>1159</v>
      </c>
      <c r="H83" s="139">
        <f>IF(COUNT(H82),SUM(H82),"")</f>
        <v>1178980</v>
      </c>
      <c r="I83" s="139">
        <f t="shared" ref="I83:N83" si="17">IF(COUNT(I82),SUM(I82),"")</f>
        <v>243209</v>
      </c>
      <c r="J83" s="139">
        <f t="shared" si="17"/>
        <v>685408</v>
      </c>
      <c r="K83" s="139">
        <f t="shared" si="17"/>
        <v>0</v>
      </c>
      <c r="L83" s="139">
        <f t="shared" si="17"/>
        <v>201589</v>
      </c>
      <c r="M83" s="139">
        <f t="shared" si="16"/>
        <v>2309186</v>
      </c>
      <c r="N83" s="139">
        <f t="shared" si="17"/>
        <v>0</v>
      </c>
    </row>
    <row r="84" spans="7:21" ht="20.100000000000001" customHeight="1" x14ac:dyDescent="0.25">
      <c r="G84" s="311" t="s">
        <v>297</v>
      </c>
      <c r="H84" s="692"/>
      <c r="I84" s="693"/>
      <c r="J84" s="693"/>
      <c r="K84" s="693"/>
      <c r="L84" s="693"/>
      <c r="M84" s="693"/>
      <c r="N84" s="694"/>
    </row>
    <row r="85" spans="7:21" x14ac:dyDescent="0.25">
      <c r="G85" s="312" t="s">
        <v>296</v>
      </c>
      <c r="H85" s="124">
        <v>200130161</v>
      </c>
      <c r="I85" s="124">
        <v>107128723</v>
      </c>
      <c r="J85" s="124">
        <v>2646236</v>
      </c>
      <c r="K85" s="124">
        <v>83203840</v>
      </c>
      <c r="L85" s="124">
        <v>111456086</v>
      </c>
      <c r="M85" s="124">
        <f t="shared" si="16"/>
        <v>504565046</v>
      </c>
      <c r="N85" s="162">
        <v>11012918</v>
      </c>
    </row>
    <row r="86" spans="7:21" ht="20.100000000000001" customHeight="1" x14ac:dyDescent="0.25">
      <c r="G86" s="328" t="s">
        <v>216</v>
      </c>
      <c r="H86" s="692"/>
      <c r="I86" s="693"/>
      <c r="J86" s="693"/>
      <c r="K86" s="693"/>
      <c r="L86" s="693"/>
      <c r="M86" s="693"/>
      <c r="N86" s="694"/>
    </row>
    <row r="87" spans="7:21" x14ac:dyDescent="0.25">
      <c r="G87" s="329" t="s">
        <v>295</v>
      </c>
      <c r="H87" s="131">
        <v>14750889</v>
      </c>
      <c r="I87" s="131">
        <v>0</v>
      </c>
      <c r="J87" s="131">
        <v>0</v>
      </c>
      <c r="K87" s="131">
        <v>0</v>
      </c>
      <c r="L87" s="131">
        <v>0</v>
      </c>
      <c r="M87" s="131">
        <f t="shared" si="16"/>
        <v>14750889</v>
      </c>
      <c r="N87" s="161">
        <v>0</v>
      </c>
    </row>
    <row r="88" spans="7:21" ht="20.100000000000001" customHeight="1" x14ac:dyDescent="0.25">
      <c r="G88" s="310" t="s">
        <v>294</v>
      </c>
      <c r="H88" s="139">
        <f>IF(COUNT(H87),SUM(H87),"")</f>
        <v>14750889</v>
      </c>
      <c r="I88" s="139">
        <f t="shared" ref="I88:N88" si="18">IF(COUNT(I87),SUM(I87),"")</f>
        <v>0</v>
      </c>
      <c r="J88" s="139">
        <f t="shared" si="18"/>
        <v>0</v>
      </c>
      <c r="K88" s="139">
        <f t="shared" si="18"/>
        <v>0</v>
      </c>
      <c r="L88" s="139">
        <f t="shared" si="18"/>
        <v>0</v>
      </c>
      <c r="M88" s="139">
        <f t="shared" si="16"/>
        <v>14750889</v>
      </c>
      <c r="N88" s="139">
        <f t="shared" si="18"/>
        <v>0</v>
      </c>
    </row>
    <row r="89" spans="7:21" x14ac:dyDescent="0.25">
      <c r="G89" s="313" t="s">
        <v>293</v>
      </c>
      <c r="H89" s="141">
        <v>135335032</v>
      </c>
      <c r="I89" s="141">
        <v>8803433</v>
      </c>
      <c r="J89" s="141">
        <v>12865380</v>
      </c>
      <c r="K89" s="141">
        <v>817070</v>
      </c>
      <c r="L89" s="141">
        <v>480466</v>
      </c>
      <c r="M89" s="141">
        <f t="shared" si="16"/>
        <v>158301381</v>
      </c>
      <c r="N89" s="160">
        <v>37193539</v>
      </c>
    </row>
    <row r="90" spans="7:21" ht="20.100000000000001" customHeight="1" x14ac:dyDescent="0.25">
      <c r="G90" s="310" t="s">
        <v>292</v>
      </c>
      <c r="H90" s="139">
        <f>IF(COUNT(H85,H88,H89),SUM(H85,H88,H89),"")</f>
        <v>350216082</v>
      </c>
      <c r="I90" s="139">
        <f t="shared" ref="I90:N90" si="19">IF(COUNT(I85,I88,I89),SUM(I85,I88,I89),"")</f>
        <v>115932156</v>
      </c>
      <c r="J90" s="139">
        <f t="shared" si="19"/>
        <v>15511616</v>
      </c>
      <c r="K90" s="139">
        <f t="shared" si="19"/>
        <v>84020910</v>
      </c>
      <c r="L90" s="139">
        <f t="shared" si="19"/>
        <v>111936552</v>
      </c>
      <c r="M90" s="139">
        <f t="shared" si="16"/>
        <v>677617316</v>
      </c>
      <c r="N90" s="139">
        <f t="shared" si="19"/>
        <v>48206457</v>
      </c>
      <c r="U90" t="s">
        <v>291</v>
      </c>
    </row>
    <row r="91" spans="7:21" ht="20.100000000000001" customHeight="1" x14ac:dyDescent="0.25">
      <c r="G91" s="749" t="s">
        <v>290</v>
      </c>
      <c r="H91" s="750"/>
      <c r="I91" s="750"/>
      <c r="J91" s="750"/>
      <c r="K91" s="750"/>
      <c r="L91" s="751"/>
      <c r="M91" s="141">
        <v>-15617961</v>
      </c>
      <c r="N91" s="747"/>
      <c r="U91" t="s">
        <v>289</v>
      </c>
    </row>
    <row r="92" spans="7:21" ht="20.100000000000001" customHeight="1" x14ac:dyDescent="0.25">
      <c r="G92" s="752" t="s">
        <v>288</v>
      </c>
      <c r="H92" s="753"/>
      <c r="I92" s="753"/>
      <c r="J92" s="753"/>
      <c r="K92" s="753"/>
      <c r="L92" s="753"/>
      <c r="M92" s="139">
        <f>IF(COUNT(M90:M91),SUM(M90:M91),"")</f>
        <v>661999355</v>
      </c>
      <c r="N92" s="748"/>
      <c r="U92" t="s">
        <v>288</v>
      </c>
    </row>
    <row r="93" spans="7:21" x14ac:dyDescent="0.25"/>
    <row r="94" spans="7:21" hidden="1" x14ac:dyDescent="0.25"/>
    <row r="95" spans="7:21" hidden="1" x14ac:dyDescent="0.25"/>
    <row r="96" spans="7:21" hidden="1" x14ac:dyDescent="0.25"/>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idden="1" x14ac:dyDescent="0.25">
      <c r="G105"/>
      <c r="H105"/>
      <c r="I105"/>
      <c r="J105"/>
      <c r="K105"/>
      <c r="L105"/>
      <c r="M105"/>
      <c r="N105"/>
    </row>
    <row r="106" spans="7:14" hidden="1" x14ac:dyDescent="0.25">
      <c r="G106"/>
      <c r="H106"/>
      <c r="I106"/>
      <c r="J106"/>
      <c r="K106"/>
      <c r="L106"/>
      <c r="M106"/>
      <c r="N106"/>
    </row>
    <row r="107" spans="7:14" hidden="1" x14ac:dyDescent="0.25">
      <c r="G107"/>
      <c r="H107"/>
      <c r="I107"/>
      <c r="J107"/>
      <c r="K107"/>
      <c r="L107"/>
      <c r="M107"/>
      <c r="N107"/>
    </row>
    <row r="108" spans="7:14" hidden="1" x14ac:dyDescent="0.25">
      <c r="G108"/>
      <c r="H108"/>
      <c r="I108"/>
      <c r="J108"/>
      <c r="K108"/>
      <c r="L108"/>
      <c r="M108"/>
      <c r="N108"/>
    </row>
    <row r="109" spans="7:14" hidden="1" x14ac:dyDescent="0.25">
      <c r="G109"/>
      <c r="H109"/>
      <c r="I109"/>
      <c r="J109"/>
      <c r="K109"/>
      <c r="L109"/>
      <c r="M109"/>
      <c r="N109"/>
    </row>
    <row r="110" spans="7:14" hidden="1" x14ac:dyDescent="0.25">
      <c r="G110"/>
      <c r="H110"/>
      <c r="I110"/>
      <c r="J110"/>
      <c r="K110"/>
      <c r="L110"/>
      <c r="M110"/>
      <c r="N110"/>
    </row>
    <row r="111" spans="7:14" hidden="1" x14ac:dyDescent="0.25">
      <c r="G111"/>
      <c r="H111"/>
      <c r="I111"/>
      <c r="J111"/>
      <c r="K111"/>
      <c r="L111"/>
      <c r="M111"/>
      <c r="N111"/>
    </row>
    <row r="112" spans="7:14" hidden="1" x14ac:dyDescent="0.25">
      <c r="G112"/>
      <c r="H112"/>
      <c r="I112"/>
      <c r="J112"/>
      <c r="K112"/>
      <c r="L112"/>
      <c r="M112"/>
      <c r="N112"/>
    </row>
    <row r="113" spans="7:14" hidden="1" x14ac:dyDescent="0.25">
      <c r="G113"/>
      <c r="H113"/>
      <c r="I113"/>
      <c r="J113"/>
      <c r="K113"/>
      <c r="L113"/>
      <c r="M113"/>
      <c r="N113"/>
    </row>
    <row r="114" spans="7:14" hidden="1" x14ac:dyDescent="0.25">
      <c r="G114"/>
      <c r="H114"/>
      <c r="I114"/>
      <c r="J114"/>
      <c r="K114"/>
      <c r="L114"/>
      <c r="M114"/>
      <c r="N114"/>
    </row>
    <row r="115" spans="7:14" hidden="1" x14ac:dyDescent="0.25">
      <c r="G115"/>
      <c r="H115"/>
      <c r="I115"/>
      <c r="J115"/>
      <c r="K115"/>
      <c r="L115"/>
      <c r="M115"/>
      <c r="N115"/>
    </row>
    <row r="116" spans="7:14" hidden="1" x14ac:dyDescent="0.25">
      <c r="G116"/>
      <c r="H116"/>
      <c r="I116"/>
      <c r="J116"/>
      <c r="K116"/>
      <c r="L116"/>
      <c r="M116"/>
      <c r="N116"/>
    </row>
    <row r="117" spans="7:14" hidden="1" x14ac:dyDescent="0.25">
      <c r="G117"/>
      <c r="H117"/>
      <c r="I117"/>
      <c r="J117"/>
      <c r="K117"/>
      <c r="L117"/>
      <c r="M117"/>
      <c r="N117"/>
    </row>
    <row r="118" spans="7:14" hidden="1" x14ac:dyDescent="0.25">
      <c r="G118"/>
      <c r="H118"/>
      <c r="I118"/>
      <c r="J118"/>
      <c r="K118"/>
      <c r="L118"/>
      <c r="M118"/>
      <c r="N118"/>
    </row>
    <row r="119" spans="7:14" hidden="1" x14ac:dyDescent="0.25">
      <c r="G119"/>
      <c r="H119"/>
      <c r="I119"/>
      <c r="J119"/>
      <c r="K119"/>
      <c r="L119"/>
      <c r="M119"/>
      <c r="N119"/>
    </row>
    <row r="120" spans="7:14" hidden="1" x14ac:dyDescent="0.25">
      <c r="G120"/>
      <c r="H120"/>
      <c r="I120"/>
      <c r="J120"/>
      <c r="K120"/>
      <c r="L120"/>
      <c r="M120"/>
      <c r="N120"/>
    </row>
    <row r="121" spans="7:14" hidden="1" x14ac:dyDescent="0.25">
      <c r="G121"/>
      <c r="H121"/>
      <c r="I121"/>
      <c r="J121"/>
      <c r="K121"/>
      <c r="L121"/>
      <c r="M121"/>
      <c r="N121"/>
    </row>
    <row r="122" spans="7:14" hidden="1" x14ac:dyDescent="0.25">
      <c r="G122"/>
      <c r="H122"/>
      <c r="I122"/>
      <c r="J122"/>
      <c r="K122"/>
      <c r="L122"/>
      <c r="M122"/>
      <c r="N122"/>
    </row>
    <row r="123" spans="7:14" hidden="1" x14ac:dyDescent="0.25">
      <c r="G123"/>
      <c r="H123"/>
      <c r="I123"/>
      <c r="J123"/>
      <c r="K123"/>
      <c r="L123"/>
      <c r="M123"/>
      <c r="N123"/>
    </row>
    <row r="124" spans="7:14" hidden="1" x14ac:dyDescent="0.25">
      <c r="G124"/>
      <c r="H124"/>
      <c r="I124"/>
      <c r="J124"/>
      <c r="K124"/>
      <c r="L124"/>
      <c r="M124"/>
      <c r="N124"/>
    </row>
    <row r="125" spans="7:14" hidden="1" x14ac:dyDescent="0.25">
      <c r="G125"/>
      <c r="H125"/>
      <c r="I125"/>
      <c r="J125"/>
      <c r="K125"/>
      <c r="L125"/>
      <c r="M125"/>
      <c r="N125"/>
    </row>
    <row r="126" spans="7:14" hidden="1" x14ac:dyDescent="0.25">
      <c r="G126"/>
      <c r="H126"/>
      <c r="I126"/>
      <c r="J126"/>
      <c r="K126"/>
      <c r="L126"/>
      <c r="M126"/>
      <c r="N126"/>
    </row>
    <row r="127" spans="7:14" hidden="1" x14ac:dyDescent="0.25">
      <c r="G127"/>
      <c r="H127"/>
      <c r="I127"/>
      <c r="J127"/>
      <c r="K127"/>
      <c r="L127"/>
      <c r="M127"/>
      <c r="N127"/>
    </row>
    <row r="128" spans="7:14" hidden="1" x14ac:dyDescent="0.25">
      <c r="G128"/>
      <c r="H128"/>
      <c r="I128"/>
      <c r="J128"/>
      <c r="K128"/>
      <c r="L128"/>
      <c r="M128"/>
      <c r="N128"/>
    </row>
    <row r="129" spans="7:14" hidden="1" x14ac:dyDescent="0.25">
      <c r="G129"/>
      <c r="H129"/>
      <c r="I129"/>
      <c r="J129"/>
      <c r="K129"/>
      <c r="L129"/>
      <c r="M129"/>
      <c r="N129"/>
    </row>
    <row r="130" spans="7:14" hidden="1" x14ac:dyDescent="0.25">
      <c r="G130"/>
      <c r="H130"/>
      <c r="I130"/>
      <c r="J130"/>
      <c r="K130"/>
      <c r="L130"/>
      <c r="M130"/>
      <c r="N130"/>
    </row>
    <row r="131" spans="7:14" hidden="1" x14ac:dyDescent="0.25">
      <c r="G131"/>
      <c r="H131"/>
      <c r="I131"/>
      <c r="J131"/>
      <c r="K131"/>
      <c r="L131"/>
      <c r="M131"/>
      <c r="N131"/>
    </row>
    <row r="132" spans="7:14" hidden="1" x14ac:dyDescent="0.25">
      <c r="G132"/>
      <c r="H132"/>
      <c r="I132"/>
      <c r="J132"/>
      <c r="K132"/>
      <c r="L132"/>
      <c r="M132"/>
      <c r="N132"/>
    </row>
    <row r="133" spans="7:14" hidden="1" x14ac:dyDescent="0.25">
      <c r="G133"/>
      <c r="H133"/>
      <c r="I133"/>
      <c r="J133"/>
      <c r="K133"/>
      <c r="L133"/>
      <c r="M133"/>
      <c r="N133"/>
    </row>
    <row r="134" spans="7:14" hidden="1" x14ac:dyDescent="0.25">
      <c r="G134"/>
      <c r="H134"/>
      <c r="I134"/>
      <c r="J134"/>
      <c r="K134"/>
      <c r="L134"/>
      <c r="M134"/>
      <c r="N134"/>
    </row>
    <row r="135" spans="7:14" hidden="1" x14ac:dyDescent="0.25">
      <c r="G135"/>
      <c r="H135"/>
      <c r="I135"/>
      <c r="J135"/>
      <c r="K135"/>
      <c r="L135"/>
      <c r="M135"/>
      <c r="N135"/>
    </row>
    <row r="136" spans="7:14" hidden="1" x14ac:dyDescent="0.25">
      <c r="G136"/>
      <c r="H136"/>
      <c r="I136"/>
      <c r="J136"/>
      <c r="K136"/>
      <c r="L136"/>
      <c r="M136"/>
      <c r="N136"/>
    </row>
    <row r="137" spans="7:14" hidden="1" x14ac:dyDescent="0.25">
      <c r="G137"/>
      <c r="H137"/>
      <c r="I137"/>
      <c r="J137"/>
      <c r="K137"/>
      <c r="L137"/>
      <c r="M137"/>
      <c r="N137"/>
    </row>
    <row r="138" spans="7:14" hidden="1" x14ac:dyDescent="0.25">
      <c r="G138"/>
      <c r="H138"/>
      <c r="I138"/>
      <c r="J138"/>
      <c r="K138"/>
      <c r="L138"/>
      <c r="M138"/>
      <c r="N138"/>
    </row>
    <row r="139" spans="7:14" hidden="1" x14ac:dyDescent="0.25">
      <c r="G139"/>
      <c r="H139"/>
      <c r="I139"/>
      <c r="J139"/>
      <c r="K139"/>
      <c r="L139"/>
      <c r="M139"/>
      <c r="N139"/>
    </row>
    <row r="140" spans="7:14" hidden="1" x14ac:dyDescent="0.25">
      <c r="G140"/>
      <c r="H140"/>
      <c r="I140"/>
      <c r="J140"/>
      <c r="K140"/>
      <c r="L140"/>
      <c r="M140"/>
      <c r="N140"/>
    </row>
    <row r="141" spans="7:14" hidden="1" x14ac:dyDescent="0.25">
      <c r="G141"/>
      <c r="H141"/>
      <c r="I141"/>
      <c r="J141"/>
      <c r="K141"/>
      <c r="L141"/>
      <c r="M141"/>
      <c r="N141"/>
    </row>
    <row r="142" spans="7:14" hidden="1" x14ac:dyDescent="0.25">
      <c r="G142"/>
      <c r="H142"/>
      <c r="I142"/>
      <c r="J142"/>
      <c r="K142"/>
      <c r="L142"/>
      <c r="M142"/>
      <c r="N142"/>
    </row>
    <row r="143" spans="7:14" hidden="1" x14ac:dyDescent="0.25">
      <c r="G143"/>
      <c r="H143"/>
      <c r="I143"/>
      <c r="J143"/>
      <c r="K143"/>
      <c r="L143"/>
      <c r="M143"/>
      <c r="N143"/>
    </row>
    <row r="144" spans="7:14" hidden="1" x14ac:dyDescent="0.25">
      <c r="G144"/>
      <c r="H144"/>
      <c r="I144"/>
      <c r="J144"/>
      <c r="K144"/>
      <c r="L144"/>
      <c r="M144"/>
      <c r="N144"/>
    </row>
    <row r="145" customFormat="1" hidden="1" x14ac:dyDescent="0.25"/>
    <row r="146" customFormat="1" hidden="1" x14ac:dyDescent="0.25"/>
    <row r="147" customFormat="1" hidden="1" x14ac:dyDescent="0.25"/>
    <row r="148" customFormat="1" hidden="1" x14ac:dyDescent="0.25"/>
    <row r="149" customFormat="1" hidden="1" x14ac:dyDescent="0.25"/>
    <row r="150" customFormat="1" hidden="1" x14ac:dyDescent="0.25"/>
    <row r="151" customFormat="1" hidden="1" x14ac:dyDescent="0.25"/>
    <row r="152" customFormat="1" hidden="1" x14ac:dyDescent="0.25"/>
    <row r="153" customFormat="1" hidden="1" x14ac:dyDescent="0.25"/>
    <row r="154" customFormat="1" hidden="1" x14ac:dyDescent="0.25"/>
    <row r="155" customFormat="1" hidden="1" x14ac:dyDescent="0.25"/>
    <row r="156" customFormat="1" hidden="1" x14ac:dyDescent="0.25"/>
    <row r="157" customFormat="1" hidden="1" x14ac:dyDescent="0.25"/>
    <row r="158" customFormat="1" hidden="1" x14ac:dyDescent="0.25"/>
    <row r="159" customFormat="1" hidden="1" x14ac:dyDescent="0.25"/>
    <row r="160" customFormat="1" hidden="1" x14ac:dyDescent="0.25"/>
    <row r="161" customFormat="1" hidden="1" x14ac:dyDescent="0.25"/>
    <row r="162" customFormat="1" hidden="1" x14ac:dyDescent="0.25"/>
    <row r="163" customFormat="1" hidden="1" x14ac:dyDescent="0.25"/>
    <row r="164" customFormat="1" hidden="1" x14ac:dyDescent="0.25"/>
    <row r="165" customFormat="1" hidden="1" x14ac:dyDescent="0.25"/>
    <row r="166" customFormat="1" hidden="1" x14ac:dyDescent="0.25"/>
    <row r="167" customFormat="1" hidden="1" x14ac:dyDescent="0.25"/>
    <row r="168" customFormat="1" hidden="1" x14ac:dyDescent="0.25"/>
    <row r="169" customFormat="1" hidden="1" x14ac:dyDescent="0.25"/>
    <row r="170" customFormat="1" hidden="1" x14ac:dyDescent="0.25"/>
    <row r="171" customFormat="1" hidden="1" x14ac:dyDescent="0.25"/>
    <row r="172" customFormat="1" hidden="1" x14ac:dyDescent="0.25"/>
  </sheetData>
  <sheetProtection algorithmName="SHA-512" hashValue="SbR+it3TahCajF3nRXuS0EdvCfuovABBiZ081UMDFWd3Izrd2Hd103o9gOvhyTY16k300aHMsh1lm6CfqVrNow==" saltValue="WSM2fygcvTEX4u411IIKXw==" spinCount="100000" sheet="1" objects="1" scenarios="1"/>
  <mergeCells count="21">
    <mergeCell ref="H81:N81"/>
    <mergeCell ref="H84:N84"/>
    <mergeCell ref="H86:N86"/>
    <mergeCell ref="N91:N92"/>
    <mergeCell ref="G91:L91"/>
    <mergeCell ref="G92:L92"/>
    <mergeCell ref="H61:N61"/>
    <mergeCell ref="H69:N69"/>
    <mergeCell ref="H47:N47"/>
    <mergeCell ref="G11:G12"/>
    <mergeCell ref="G10:M10"/>
    <mergeCell ref="H11:M11"/>
    <mergeCell ref="H51:N51"/>
    <mergeCell ref="H52:N52"/>
    <mergeCell ref="N11:N12"/>
    <mergeCell ref="H13:N13"/>
    <mergeCell ref="H14:N14"/>
    <mergeCell ref="H30:N30"/>
    <mergeCell ref="H36:N36"/>
    <mergeCell ref="H17:N17"/>
    <mergeCell ref="H22:N22"/>
  </mergeCell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E1:Q123"/>
  <sheetViews>
    <sheetView showGridLines="0" topLeftCell="F9"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3" style="27" customWidth="1"/>
    <col min="8" max="13" width="16.7109375" style="27" customWidth="1"/>
    <col min="14" max="14" width="20.7109375" style="27" customWidth="1"/>
    <col min="15" max="15" width="2.7109375" customWidth="1"/>
    <col min="16" max="16" width="2.7109375" hidden="1" customWidth="1"/>
    <col min="17" max="17" width="0" hidden="1" customWidth="1"/>
    <col min="18"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ht="36.950000000000003" customHeight="1" x14ac:dyDescent="0.25"/>
    <row r="10" spans="7:14" ht="20.100000000000001" customHeight="1" x14ac:dyDescent="0.25">
      <c r="G10" s="676" t="s">
        <v>570</v>
      </c>
      <c r="H10" s="677"/>
      <c r="I10" s="677"/>
      <c r="J10" s="677"/>
      <c r="K10" s="677"/>
      <c r="L10" s="677"/>
      <c r="M10" s="678"/>
      <c r="N10" s="252" t="s">
        <v>346</v>
      </c>
    </row>
    <row r="11" spans="7:14" ht="20.100000000000001" customHeight="1" x14ac:dyDescent="0.25">
      <c r="G11" s="682" t="s">
        <v>1</v>
      </c>
      <c r="H11" s="676" t="s">
        <v>237</v>
      </c>
      <c r="I11" s="677"/>
      <c r="J11" s="677"/>
      <c r="K11" s="677"/>
      <c r="L11" s="677"/>
      <c r="M11" s="678"/>
      <c r="N11" s="682" t="s">
        <v>571</v>
      </c>
    </row>
    <row r="12" spans="7:14" ht="30" x14ac:dyDescent="0.25">
      <c r="G12" s="683"/>
      <c r="H12" s="194" t="s">
        <v>333</v>
      </c>
      <c r="I12" s="194" t="s">
        <v>311</v>
      </c>
      <c r="J12" s="194" t="s">
        <v>255</v>
      </c>
      <c r="K12" s="194" t="s">
        <v>254</v>
      </c>
      <c r="L12" s="194" t="s">
        <v>332</v>
      </c>
      <c r="M12" s="194" t="s">
        <v>572</v>
      </c>
      <c r="N12" s="683"/>
    </row>
    <row r="13" spans="7:14" ht="20.100000000000001" customHeight="1" x14ac:dyDescent="0.25">
      <c r="G13" s="10" t="s">
        <v>573</v>
      </c>
      <c r="H13" s="670"/>
      <c r="I13" s="671"/>
      <c r="J13" s="671"/>
      <c r="K13" s="671"/>
      <c r="L13" s="671"/>
      <c r="M13" s="671"/>
      <c r="N13" s="672"/>
    </row>
    <row r="14" spans="7:14" x14ac:dyDescent="0.25">
      <c r="G14" s="168" t="s">
        <v>574</v>
      </c>
      <c r="H14" s="124">
        <v>56238132</v>
      </c>
      <c r="I14" s="124">
        <v>0</v>
      </c>
      <c r="J14" s="124">
        <v>0</v>
      </c>
      <c r="K14" s="124">
        <v>0</v>
      </c>
      <c r="L14" s="124">
        <v>0</v>
      </c>
      <c r="M14" s="133">
        <f t="shared" ref="M14:M19" si="0">IF(COUNT(H14:L14),SUM(H14:L14),"")</f>
        <v>56238132</v>
      </c>
      <c r="N14" s="162">
        <v>0</v>
      </c>
    </row>
    <row r="15" spans="7:14" x14ac:dyDescent="0.25">
      <c r="G15" s="121" t="s">
        <v>575</v>
      </c>
      <c r="H15" s="123">
        <v>65346817</v>
      </c>
      <c r="I15" s="123">
        <v>0</v>
      </c>
      <c r="J15" s="123">
        <v>0</v>
      </c>
      <c r="K15" s="123">
        <v>0</v>
      </c>
      <c r="L15" s="123">
        <v>0</v>
      </c>
      <c r="M15" s="128">
        <f t="shared" si="0"/>
        <v>65346817</v>
      </c>
      <c r="N15" s="164">
        <v>0</v>
      </c>
    </row>
    <row r="16" spans="7:14" x14ac:dyDescent="0.25">
      <c r="G16" s="121" t="s">
        <v>576</v>
      </c>
      <c r="H16" s="123">
        <v>0</v>
      </c>
      <c r="I16" s="123">
        <v>0</v>
      </c>
      <c r="J16" s="123">
        <v>0</v>
      </c>
      <c r="K16" s="123">
        <v>0</v>
      </c>
      <c r="L16" s="123">
        <v>1223652</v>
      </c>
      <c r="M16" s="128">
        <f t="shared" si="0"/>
        <v>1223652</v>
      </c>
      <c r="N16" s="164">
        <v>0</v>
      </c>
    </row>
    <row r="17" spans="7:14" x14ac:dyDescent="0.25">
      <c r="G17" s="121" t="s">
        <v>577</v>
      </c>
      <c r="H17" s="123">
        <v>891556</v>
      </c>
      <c r="I17" s="123">
        <v>15654513</v>
      </c>
      <c r="J17" s="123">
        <v>43760762</v>
      </c>
      <c r="K17" s="123">
        <v>0</v>
      </c>
      <c r="L17" s="123">
        <v>10186705</v>
      </c>
      <c r="M17" s="128">
        <f t="shared" si="0"/>
        <v>70493536</v>
      </c>
      <c r="N17" s="164">
        <v>116141300</v>
      </c>
    </row>
    <row r="18" spans="7:14" x14ac:dyDescent="0.25">
      <c r="G18" s="121" t="s">
        <v>1189</v>
      </c>
      <c r="H18" s="123">
        <v>0</v>
      </c>
      <c r="I18" s="123">
        <v>0</v>
      </c>
      <c r="J18" s="123">
        <v>0</v>
      </c>
      <c r="K18" s="123">
        <v>0</v>
      </c>
      <c r="L18" s="123">
        <v>1468496</v>
      </c>
      <c r="M18" s="128">
        <f t="shared" si="0"/>
        <v>1468496</v>
      </c>
      <c r="N18" s="164">
        <v>0</v>
      </c>
    </row>
    <row r="19" spans="7:14" x14ac:dyDescent="0.25">
      <c r="G19" s="121" t="s">
        <v>578</v>
      </c>
      <c r="H19" s="123">
        <v>16688</v>
      </c>
      <c r="I19" s="123">
        <v>0</v>
      </c>
      <c r="J19" s="123">
        <v>0</v>
      </c>
      <c r="K19" s="123">
        <v>1359840</v>
      </c>
      <c r="L19" s="123">
        <v>5364331</v>
      </c>
      <c r="M19" s="128">
        <f t="shared" si="0"/>
        <v>6740859</v>
      </c>
      <c r="N19" s="164">
        <v>0</v>
      </c>
    </row>
    <row r="20" spans="7:14" ht="20.100000000000001" customHeight="1" x14ac:dyDescent="0.25">
      <c r="G20" s="159" t="s">
        <v>579</v>
      </c>
      <c r="H20" s="139">
        <f>IF(COUNT(H14:H19),SUM(H14:H19),"")</f>
        <v>122493193</v>
      </c>
      <c r="I20" s="139">
        <f t="shared" ref="I20:N20" si="1">IF(COUNT(I14:I19),SUM(I14:I19),"")</f>
        <v>15654513</v>
      </c>
      <c r="J20" s="139">
        <f t="shared" si="1"/>
        <v>43760762</v>
      </c>
      <c r="K20" s="139">
        <f t="shared" si="1"/>
        <v>1359840</v>
      </c>
      <c r="L20" s="139">
        <f t="shared" si="1"/>
        <v>18243184</v>
      </c>
      <c r="M20" s="139">
        <f t="shared" si="1"/>
        <v>201511492</v>
      </c>
      <c r="N20" s="139">
        <f t="shared" si="1"/>
        <v>116141300</v>
      </c>
    </row>
    <row r="21" spans="7:14" ht="20.100000000000001" customHeight="1" x14ac:dyDescent="0.25">
      <c r="G21" s="10" t="s">
        <v>580</v>
      </c>
      <c r="H21" s="673"/>
      <c r="I21" s="674"/>
      <c r="J21" s="674"/>
      <c r="K21" s="674"/>
      <c r="L21" s="674"/>
      <c r="M21" s="674"/>
      <c r="N21" s="675"/>
    </row>
    <row r="22" spans="7:14" x14ac:dyDescent="0.25">
      <c r="G22" s="121" t="s">
        <v>581</v>
      </c>
      <c r="H22" s="123">
        <v>27541417</v>
      </c>
      <c r="I22" s="123">
        <v>6810463</v>
      </c>
      <c r="J22" s="123">
        <v>18163324</v>
      </c>
      <c r="K22" s="123">
        <v>843917</v>
      </c>
      <c r="L22" s="123">
        <v>7687166</v>
      </c>
      <c r="M22" s="128">
        <f>IF(COUNT(H22:L22),SUM(H22:L22),"")</f>
        <v>61046287</v>
      </c>
      <c r="N22" s="164">
        <v>21383926</v>
      </c>
    </row>
    <row r="23" spans="7:14" x14ac:dyDescent="0.25">
      <c r="G23" s="121" t="s">
        <v>582</v>
      </c>
      <c r="H23" s="123">
        <v>51975062</v>
      </c>
      <c r="I23" s="123">
        <v>4322414</v>
      </c>
      <c r="J23" s="123">
        <v>20610847</v>
      </c>
      <c r="K23" s="123">
        <v>1868652</v>
      </c>
      <c r="L23" s="123">
        <v>8515710</v>
      </c>
      <c r="M23" s="128">
        <f>IF(COUNT(H23:L23),SUM(H23:L23),"")</f>
        <v>87292685</v>
      </c>
      <c r="N23" s="164">
        <v>83900813</v>
      </c>
    </row>
    <row r="24" spans="7:14" x14ac:dyDescent="0.25">
      <c r="G24" s="121" t="s">
        <v>583</v>
      </c>
      <c r="H24" s="123">
        <v>2929164</v>
      </c>
      <c r="I24" s="123">
        <v>402336</v>
      </c>
      <c r="J24" s="123">
        <v>1200576</v>
      </c>
      <c r="K24" s="123">
        <v>0</v>
      </c>
      <c r="L24" s="123">
        <v>573348</v>
      </c>
      <c r="M24" s="128">
        <f>IF(COUNT(H24:L24),SUM(H24:L24),"")</f>
        <v>5105424</v>
      </c>
      <c r="N24" s="164">
        <v>1694352</v>
      </c>
    </row>
    <row r="25" spans="7:14" x14ac:dyDescent="0.25">
      <c r="G25" s="121" t="s">
        <v>557</v>
      </c>
      <c r="H25" s="123">
        <v>18433491</v>
      </c>
      <c r="I25" s="123">
        <v>4068860</v>
      </c>
      <c r="J25" s="123">
        <v>2055589</v>
      </c>
      <c r="K25" s="123">
        <v>3580310</v>
      </c>
      <c r="L25" s="123">
        <v>4420112</v>
      </c>
      <c r="M25" s="128">
        <f>IF(COUNT(H25:L25),SUM(H25:L25),"")</f>
        <v>32558362</v>
      </c>
      <c r="N25" s="164">
        <v>6693609</v>
      </c>
    </row>
    <row r="26" spans="7:14" ht="20.100000000000001" customHeight="1" x14ac:dyDescent="0.25">
      <c r="G26" s="159" t="s">
        <v>584</v>
      </c>
      <c r="H26" s="139">
        <f>IF(COUNT(H22:H25),SUM(H22:H25),"")</f>
        <v>100879134</v>
      </c>
      <c r="I26" s="139">
        <f t="shared" ref="I26:N26" si="2">IF(COUNT(I22:I25),SUM(I22:I25),"")</f>
        <v>15604073</v>
      </c>
      <c r="J26" s="139">
        <f t="shared" si="2"/>
        <v>42030336</v>
      </c>
      <c r="K26" s="139">
        <f t="shared" si="2"/>
        <v>6292879</v>
      </c>
      <c r="L26" s="139">
        <f t="shared" si="2"/>
        <v>21196336</v>
      </c>
      <c r="M26" s="139">
        <f t="shared" si="2"/>
        <v>186002758</v>
      </c>
      <c r="N26" s="139">
        <f t="shared" si="2"/>
        <v>113672700</v>
      </c>
    </row>
    <row r="27" spans="7:14" ht="20.100000000000001" customHeight="1" x14ac:dyDescent="0.25">
      <c r="G27" s="159" t="s">
        <v>596</v>
      </c>
      <c r="H27" s="139">
        <f>IF(COUNT(H20,H26),SUM(H20)-SUM(H26),"")</f>
        <v>21614059</v>
      </c>
      <c r="I27" s="139">
        <f t="shared" ref="I27:N27" si="3">IF(COUNT(I20,I26),SUM(I20)-SUM(I26),"")</f>
        <v>50440</v>
      </c>
      <c r="J27" s="139">
        <f t="shared" si="3"/>
        <v>1730426</v>
      </c>
      <c r="K27" s="139">
        <f t="shared" si="3"/>
        <v>-4933039</v>
      </c>
      <c r="L27" s="139">
        <f t="shared" si="3"/>
        <v>-2953152</v>
      </c>
      <c r="M27" s="139">
        <f t="shared" si="3"/>
        <v>15508734</v>
      </c>
      <c r="N27" s="139">
        <f t="shared" si="3"/>
        <v>2468600</v>
      </c>
    </row>
    <row r="28" spans="7:14" ht="20.100000000000001" customHeight="1" x14ac:dyDescent="0.25">
      <c r="G28" s="125" t="s">
        <v>585</v>
      </c>
      <c r="H28" s="692"/>
      <c r="I28" s="693"/>
      <c r="J28" s="693"/>
      <c r="K28" s="693"/>
      <c r="L28" s="693"/>
      <c r="M28" s="693"/>
      <c r="N28" s="694"/>
    </row>
    <row r="29" spans="7:14" x14ac:dyDescent="0.25">
      <c r="G29" s="168" t="s">
        <v>13</v>
      </c>
      <c r="H29" s="124">
        <v>1162590</v>
      </c>
      <c r="I29" s="124">
        <v>85968</v>
      </c>
      <c r="J29" s="124">
        <v>229703</v>
      </c>
      <c r="K29" s="124">
        <v>0</v>
      </c>
      <c r="L29" s="124">
        <v>1192</v>
      </c>
      <c r="M29" s="133">
        <f t="shared" ref="M29:M44" si="4">IF(COUNT(H29:L29),SUM(H29:L29),"")</f>
        <v>1479453</v>
      </c>
      <c r="N29" s="162">
        <v>45478</v>
      </c>
    </row>
    <row r="30" spans="7:14" x14ac:dyDescent="0.25">
      <c r="G30" s="121" t="s">
        <v>1190</v>
      </c>
      <c r="H30" s="123">
        <v>5081817</v>
      </c>
      <c r="I30" s="123">
        <v>67294</v>
      </c>
      <c r="J30" s="123">
        <v>446551</v>
      </c>
      <c r="K30" s="123">
        <v>3276</v>
      </c>
      <c r="L30" s="123">
        <v>81391</v>
      </c>
      <c r="M30" s="128">
        <f t="shared" si="4"/>
        <v>5680329</v>
      </c>
      <c r="N30" s="164">
        <v>865253</v>
      </c>
    </row>
    <row r="31" spans="7:14" x14ac:dyDescent="0.25">
      <c r="G31" s="121" t="s">
        <v>586</v>
      </c>
      <c r="H31" s="123">
        <v>743172</v>
      </c>
      <c r="I31" s="123">
        <v>0</v>
      </c>
      <c r="J31" s="123">
        <v>0</v>
      </c>
      <c r="K31" s="123">
        <v>0</v>
      </c>
      <c r="L31" s="123">
        <v>0</v>
      </c>
      <c r="M31" s="128">
        <f t="shared" si="4"/>
        <v>743172</v>
      </c>
      <c r="N31" s="164">
        <v>0</v>
      </c>
    </row>
    <row r="32" spans="7:14" x14ac:dyDescent="0.25">
      <c r="G32" s="121" t="s">
        <v>587</v>
      </c>
      <c r="H32" s="123">
        <v>12885573</v>
      </c>
      <c r="I32" s="123">
        <v>383769</v>
      </c>
      <c r="J32" s="123">
        <v>52560</v>
      </c>
      <c r="K32" s="123">
        <v>0</v>
      </c>
      <c r="L32" s="123">
        <v>225484</v>
      </c>
      <c r="M32" s="128">
        <f t="shared" si="4"/>
        <v>13547386</v>
      </c>
      <c r="N32" s="164">
        <v>0</v>
      </c>
    </row>
    <row r="33" spans="7:14" x14ac:dyDescent="0.25">
      <c r="G33" s="121" t="s">
        <v>588</v>
      </c>
      <c r="H33" s="123">
        <v>1263894</v>
      </c>
      <c r="I33" s="123">
        <v>0</v>
      </c>
      <c r="J33" s="123">
        <v>0</v>
      </c>
      <c r="K33" s="123">
        <v>0</v>
      </c>
      <c r="L33" s="123">
        <v>76872</v>
      </c>
      <c r="M33" s="128">
        <f t="shared" si="4"/>
        <v>1340766</v>
      </c>
      <c r="N33" s="164">
        <v>0</v>
      </c>
    </row>
    <row r="34" spans="7:14" x14ac:dyDescent="0.25">
      <c r="G34" s="121" t="s">
        <v>589</v>
      </c>
      <c r="H34" s="123">
        <v>175307</v>
      </c>
      <c r="I34" s="123">
        <v>269</v>
      </c>
      <c r="J34" s="123">
        <v>0</v>
      </c>
      <c r="K34" s="123">
        <v>0</v>
      </c>
      <c r="L34" s="123">
        <v>-499550</v>
      </c>
      <c r="M34" s="128">
        <f t="shared" si="4"/>
        <v>-323974</v>
      </c>
      <c r="N34" s="164">
        <v>-11106238</v>
      </c>
    </row>
    <row r="35" spans="7:14" x14ac:dyDescent="0.25">
      <c r="G35" s="121" t="s">
        <v>590</v>
      </c>
      <c r="H35" s="123">
        <v>90958</v>
      </c>
      <c r="I35" s="123">
        <v>18902</v>
      </c>
      <c r="J35" s="123">
        <v>387912</v>
      </c>
      <c r="K35" s="123">
        <v>0</v>
      </c>
      <c r="L35" s="123">
        <v>8908</v>
      </c>
      <c r="M35" s="128">
        <f t="shared" si="4"/>
        <v>506680</v>
      </c>
      <c r="N35" s="164">
        <v>560368</v>
      </c>
    </row>
    <row r="36" spans="7:14" ht="20.100000000000001" customHeight="1" x14ac:dyDescent="0.25">
      <c r="G36" s="169" t="s">
        <v>591</v>
      </c>
      <c r="H36" s="139">
        <f>IF(COUNT(H29:H35),SUM(H29:H31)+SUM(H34:H35)-SUM(H32:H33),"")</f>
        <v>-6895623</v>
      </c>
      <c r="I36" s="139">
        <f t="shared" ref="I36:N36" si="5">IF(COUNT(I29:I35),SUM(I29:I31)+SUM(I34:I35)-SUM(I32:I33),"")</f>
        <v>-211336</v>
      </c>
      <c r="J36" s="139">
        <f t="shared" si="5"/>
        <v>1011606</v>
      </c>
      <c r="K36" s="139">
        <f t="shared" si="5"/>
        <v>3276</v>
      </c>
      <c r="L36" s="139">
        <f t="shared" si="5"/>
        <v>-710415</v>
      </c>
      <c r="M36" s="139">
        <f t="shared" si="5"/>
        <v>-6802492</v>
      </c>
      <c r="N36" s="139">
        <f t="shared" si="5"/>
        <v>-9635139</v>
      </c>
    </row>
    <row r="37" spans="7:14" ht="20.100000000000001" customHeight="1" x14ac:dyDescent="0.25">
      <c r="G37" s="169" t="s">
        <v>592</v>
      </c>
      <c r="H37" s="139">
        <f>IF(COUNT(H27,H36),SUM(H27,H36),"")</f>
        <v>14718436</v>
      </c>
      <c r="I37" s="139">
        <f t="shared" ref="I37:N37" si="6">IF(COUNT(I27,I36),SUM(I27,I36),"")</f>
        <v>-160896</v>
      </c>
      <c r="J37" s="139">
        <f t="shared" si="6"/>
        <v>2742032</v>
      </c>
      <c r="K37" s="139">
        <f t="shared" si="6"/>
        <v>-4929763</v>
      </c>
      <c r="L37" s="139">
        <f t="shared" si="6"/>
        <v>-3663567</v>
      </c>
      <c r="M37" s="139">
        <f t="shared" si="4"/>
        <v>8706242</v>
      </c>
      <c r="N37" s="139">
        <f t="shared" si="6"/>
        <v>-7166539</v>
      </c>
    </row>
    <row r="38" spans="7:14" ht="20.100000000000001" customHeight="1" x14ac:dyDescent="0.25">
      <c r="G38" s="125" t="s">
        <v>593</v>
      </c>
      <c r="H38" s="673"/>
      <c r="I38" s="674"/>
      <c r="J38" s="674"/>
      <c r="K38" s="674"/>
      <c r="L38" s="674"/>
      <c r="M38" s="674"/>
      <c r="N38" s="675"/>
    </row>
    <row r="39" spans="7:14" x14ac:dyDescent="0.25">
      <c r="G39" s="121" t="s">
        <v>315</v>
      </c>
      <c r="H39" s="123">
        <v>0</v>
      </c>
      <c r="I39" s="123">
        <v>1551119</v>
      </c>
      <c r="J39" s="123">
        <v>0</v>
      </c>
      <c r="K39" s="123">
        <v>0</v>
      </c>
      <c r="L39" s="123">
        <v>11538845</v>
      </c>
      <c r="M39" s="128">
        <f t="shared" si="4"/>
        <v>13089964</v>
      </c>
      <c r="N39" s="164">
        <v>8726</v>
      </c>
    </row>
    <row r="40" spans="7:14" x14ac:dyDescent="0.25">
      <c r="G40" s="121" t="s">
        <v>314</v>
      </c>
      <c r="H40" s="123">
        <v>1598577</v>
      </c>
      <c r="I40" s="123">
        <v>0</v>
      </c>
      <c r="J40" s="123">
        <v>121251</v>
      </c>
      <c r="K40" s="123">
        <v>0</v>
      </c>
      <c r="L40" s="123">
        <v>330497</v>
      </c>
      <c r="M40" s="128">
        <f t="shared" si="4"/>
        <v>2050325</v>
      </c>
      <c r="N40" s="164">
        <v>0</v>
      </c>
    </row>
    <row r="41" spans="7:14" x14ac:dyDescent="0.25">
      <c r="G41" s="121" t="s">
        <v>313</v>
      </c>
      <c r="H41" s="123">
        <v>0</v>
      </c>
      <c r="I41" s="123">
        <v>1017448</v>
      </c>
      <c r="J41" s="123">
        <v>104966</v>
      </c>
      <c r="K41" s="123">
        <v>0</v>
      </c>
      <c r="L41" s="123">
        <v>440600</v>
      </c>
      <c r="M41" s="128">
        <f t="shared" si="4"/>
        <v>1563014</v>
      </c>
      <c r="N41" s="164">
        <v>0</v>
      </c>
    </row>
    <row r="42" spans="7:14" ht="20.100000000000001" customHeight="1" x14ac:dyDescent="0.25">
      <c r="G42" s="125" t="s">
        <v>594</v>
      </c>
      <c r="H42" s="673"/>
      <c r="I42" s="674"/>
      <c r="J42" s="674"/>
      <c r="K42" s="674"/>
      <c r="L42" s="674"/>
      <c r="M42" s="674"/>
      <c r="N42" s="675"/>
    </row>
    <row r="43" spans="7:14" x14ac:dyDescent="0.25">
      <c r="G43" s="121" t="s">
        <v>1191</v>
      </c>
      <c r="H43" s="123">
        <v>3650494</v>
      </c>
      <c r="I43" s="123">
        <v>2596630</v>
      </c>
      <c r="J43" s="123">
        <v>322451</v>
      </c>
      <c r="K43" s="123">
        <v>1511000</v>
      </c>
      <c r="L43" s="123">
        <v>1270925</v>
      </c>
      <c r="M43" s="128">
        <f t="shared" si="4"/>
        <v>9351500</v>
      </c>
      <c r="N43" s="164">
        <v>178618</v>
      </c>
    </row>
    <row r="44" spans="7:14" x14ac:dyDescent="0.25">
      <c r="G44" s="121" t="s">
        <v>1192</v>
      </c>
      <c r="H44" s="123">
        <v>12044024</v>
      </c>
      <c r="I44" s="123">
        <v>2178724</v>
      </c>
      <c r="J44" s="123">
        <v>2886111</v>
      </c>
      <c r="K44" s="123">
        <v>0</v>
      </c>
      <c r="L44" s="123">
        <v>1904290</v>
      </c>
      <c r="M44" s="128">
        <f t="shared" si="4"/>
        <v>19013149</v>
      </c>
      <c r="N44" s="164">
        <v>9095704</v>
      </c>
    </row>
    <row r="45" spans="7:14" ht="20.100000000000001" customHeight="1" x14ac:dyDescent="0.25">
      <c r="G45" s="612" t="s">
        <v>595</v>
      </c>
      <c r="H45" s="139">
        <f>IF(COUNT(H39:H41,H43:H44),SUM(H39:H41,H43)-SUM(H44),"")</f>
        <v>-6794953</v>
      </c>
      <c r="I45" s="139">
        <f t="shared" ref="I45:N45" si="7">IF(COUNT(I39:I41,I43:I44),SUM(I39:I41,I43)-SUM(I44),"")</f>
        <v>2986473</v>
      </c>
      <c r="J45" s="139">
        <f t="shared" si="7"/>
        <v>-2337443</v>
      </c>
      <c r="K45" s="139">
        <f t="shared" si="7"/>
        <v>1511000</v>
      </c>
      <c r="L45" s="139">
        <f t="shared" si="7"/>
        <v>11676577</v>
      </c>
      <c r="M45" s="139">
        <f t="shared" si="7"/>
        <v>7041654</v>
      </c>
      <c r="N45" s="139">
        <f t="shared" si="7"/>
        <v>-8908360</v>
      </c>
    </row>
    <row r="46" spans="7:14" ht="20.100000000000001" customHeight="1" x14ac:dyDescent="0.25">
      <c r="G46" s="612" t="s">
        <v>1193</v>
      </c>
      <c r="H46" s="139">
        <f>IF(COUNT(H37,H45),SUM(H37,H45),"")</f>
        <v>7923483</v>
      </c>
      <c r="I46" s="139">
        <f t="shared" ref="I46:N46" si="8">IF(COUNT(I37,I45),SUM(I37,I45),"")</f>
        <v>2825577</v>
      </c>
      <c r="J46" s="139">
        <f t="shared" si="8"/>
        <v>404589</v>
      </c>
      <c r="K46" s="139">
        <f t="shared" si="8"/>
        <v>-3418763</v>
      </c>
      <c r="L46" s="139">
        <f t="shared" si="8"/>
        <v>8013010</v>
      </c>
      <c r="M46" s="139">
        <f t="shared" si="8"/>
        <v>15747896</v>
      </c>
      <c r="N46" s="139">
        <f t="shared" si="8"/>
        <v>-16074899</v>
      </c>
    </row>
    <row r="47" spans="7:14" x14ac:dyDescent="0.25">
      <c r="G47" s="170" t="s">
        <v>1194</v>
      </c>
      <c r="H47" s="284">
        <v>342292599</v>
      </c>
      <c r="I47" s="284">
        <v>113106579</v>
      </c>
      <c r="J47" s="284">
        <v>15107027</v>
      </c>
      <c r="K47" s="284">
        <v>87439673</v>
      </c>
      <c r="L47" s="284">
        <v>103923542</v>
      </c>
      <c r="M47" s="285">
        <f>IF(COUNT(H47:L47),SUM(H47:L47),"")</f>
        <v>661869420</v>
      </c>
      <c r="N47" s="284">
        <v>-19013149</v>
      </c>
    </row>
    <row r="48" spans="7:14" ht="20.100000000000001" customHeight="1" x14ac:dyDescent="0.25">
      <c r="G48" s="612" t="s">
        <v>1195</v>
      </c>
      <c r="H48" s="139">
        <f>+IF(COUNT(H46:H47),SUM(H46:H47),"")</f>
        <v>350216082</v>
      </c>
      <c r="I48" s="139">
        <f t="shared" ref="I48:N48" si="9">+IF(COUNT(I46:I47),SUM(I46:I47),"")</f>
        <v>115932156</v>
      </c>
      <c r="J48" s="139">
        <f t="shared" si="9"/>
        <v>15511616</v>
      </c>
      <c r="K48" s="139">
        <f t="shared" si="9"/>
        <v>84020910</v>
      </c>
      <c r="L48" s="139">
        <f t="shared" si="9"/>
        <v>111936552</v>
      </c>
      <c r="M48" s="139">
        <f t="shared" si="9"/>
        <v>677617316</v>
      </c>
      <c r="N48" s="139">
        <f t="shared" si="9"/>
        <v>-35088048</v>
      </c>
    </row>
    <row r="49" spans="7:14" x14ac:dyDescent="0.25">
      <c r="G49" s="757" t="s">
        <v>597</v>
      </c>
      <c r="H49" s="758"/>
      <c r="I49" s="758"/>
      <c r="J49" s="758"/>
      <c r="K49" s="758"/>
      <c r="L49" s="759"/>
      <c r="M49" s="128">
        <v>15747896</v>
      </c>
      <c r="N49" s="754"/>
    </row>
    <row r="50" spans="7:14" x14ac:dyDescent="0.25">
      <c r="G50" s="760" t="s">
        <v>598</v>
      </c>
      <c r="H50" s="761"/>
      <c r="I50" s="761"/>
      <c r="J50" s="761"/>
      <c r="K50" s="761"/>
      <c r="L50" s="762"/>
      <c r="M50" s="128">
        <v>449292</v>
      </c>
      <c r="N50" s="755"/>
    </row>
    <row r="51" spans="7:14" ht="20.100000000000001" customHeight="1" x14ac:dyDescent="0.25">
      <c r="G51" s="763" t="s">
        <v>599</v>
      </c>
      <c r="H51" s="764"/>
      <c r="I51" s="764"/>
      <c r="J51" s="764"/>
      <c r="K51" s="764"/>
      <c r="L51" s="765"/>
      <c r="M51" s="139">
        <f>IF(COUNT(M49:M50),SUM(M49:M50),"")</f>
        <v>16197188</v>
      </c>
      <c r="N51" s="756"/>
    </row>
    <row r="52" spans="7:14" x14ac:dyDescent="0.25">
      <c r="G52"/>
      <c r="H52"/>
      <c r="I52"/>
      <c r="J52"/>
      <c r="K52"/>
      <c r="L52"/>
      <c r="M52"/>
      <c r="N52"/>
    </row>
    <row r="53" spans="7:14" hidden="1" x14ac:dyDescent="0.25">
      <c r="G53"/>
      <c r="H53"/>
      <c r="I53"/>
      <c r="J53"/>
      <c r="K53"/>
      <c r="L53"/>
      <c r="M53"/>
      <c r="N53"/>
    </row>
    <row r="54" spans="7:14" hidden="1" x14ac:dyDescent="0.25">
      <c r="G54"/>
      <c r="H54"/>
      <c r="I54"/>
      <c r="J54"/>
      <c r="K54"/>
      <c r="L54"/>
      <c r="M54"/>
      <c r="N54"/>
    </row>
    <row r="55" spans="7:14" hidden="1" x14ac:dyDescent="0.25">
      <c r="G55"/>
      <c r="H55"/>
      <c r="I55"/>
      <c r="J55"/>
      <c r="K55"/>
      <c r="L55"/>
      <c r="M55"/>
      <c r="N55"/>
    </row>
    <row r="56" spans="7:14" hidden="1" x14ac:dyDescent="0.25">
      <c r="G56"/>
      <c r="H56"/>
      <c r="I56"/>
      <c r="J56"/>
      <c r="K56"/>
      <c r="L56"/>
      <c r="M56"/>
      <c r="N56"/>
    </row>
    <row r="57" spans="7:14" hidden="1" x14ac:dyDescent="0.25">
      <c r="G57"/>
      <c r="H57"/>
      <c r="I57"/>
      <c r="J57"/>
      <c r="K57"/>
      <c r="L57"/>
      <c r="M57"/>
      <c r="N57"/>
    </row>
    <row r="58" spans="7:14" hidden="1" x14ac:dyDescent="0.25">
      <c r="G58"/>
      <c r="H58"/>
      <c r="I58"/>
      <c r="J58"/>
      <c r="K58"/>
      <c r="L58"/>
      <c r="M58"/>
      <c r="N58"/>
    </row>
    <row r="59" spans="7:14" hidden="1" x14ac:dyDescent="0.25">
      <c r="G59"/>
      <c r="H59"/>
      <c r="I59"/>
      <c r="J59"/>
      <c r="K59"/>
      <c r="L59"/>
      <c r="M59"/>
      <c r="N59"/>
    </row>
    <row r="60" spans="7:14" hidden="1" x14ac:dyDescent="0.25">
      <c r="G60"/>
      <c r="H60"/>
      <c r="I60"/>
      <c r="J60"/>
      <c r="K60"/>
      <c r="L60"/>
      <c r="M60"/>
      <c r="N60"/>
    </row>
    <row r="61" spans="7:14" hidden="1" x14ac:dyDescent="0.25">
      <c r="G61"/>
      <c r="H61"/>
      <c r="I61"/>
      <c r="J61"/>
      <c r="K61"/>
      <c r="L61"/>
      <c r="M61"/>
      <c r="N61"/>
    </row>
    <row r="62" spans="7:14" hidden="1" x14ac:dyDescent="0.25">
      <c r="G62"/>
      <c r="H62"/>
      <c r="I62"/>
      <c r="J62"/>
      <c r="K62"/>
      <c r="L62"/>
      <c r="M62"/>
      <c r="N62"/>
    </row>
    <row r="63" spans="7:14" hidden="1" x14ac:dyDescent="0.25">
      <c r="G63"/>
      <c r="H63"/>
      <c r="I63"/>
      <c r="J63"/>
      <c r="K63"/>
      <c r="L63"/>
      <c r="M63"/>
      <c r="N63"/>
    </row>
    <row r="64" spans="7:14" hidden="1" x14ac:dyDescent="0.25">
      <c r="G64"/>
      <c r="H64"/>
      <c r="I64"/>
      <c r="J64"/>
      <c r="K64"/>
      <c r="L64"/>
      <c r="M64"/>
      <c r="N64"/>
    </row>
    <row r="65" spans="7:14" hidden="1" x14ac:dyDescent="0.25">
      <c r="G65"/>
      <c r="H65"/>
      <c r="I65"/>
      <c r="J65"/>
      <c r="K65"/>
      <c r="L65"/>
      <c r="M65"/>
      <c r="N65"/>
    </row>
    <row r="66" spans="7:14" hidden="1" x14ac:dyDescent="0.25">
      <c r="G66"/>
      <c r="H66"/>
      <c r="I66"/>
      <c r="J66"/>
      <c r="K66"/>
      <c r="L66"/>
      <c r="M66"/>
      <c r="N66"/>
    </row>
    <row r="67" spans="7:14" hidden="1" x14ac:dyDescent="0.25">
      <c r="G67"/>
      <c r="H67"/>
      <c r="I67"/>
      <c r="J67"/>
      <c r="K67"/>
      <c r="L67"/>
      <c r="M67"/>
      <c r="N67"/>
    </row>
    <row r="68" spans="7:14" hidden="1" x14ac:dyDescent="0.25">
      <c r="G68"/>
      <c r="H68"/>
      <c r="I68"/>
      <c r="J68"/>
      <c r="K68"/>
      <c r="L68"/>
      <c r="M68"/>
      <c r="N68"/>
    </row>
    <row r="69" spans="7:14" hidden="1" x14ac:dyDescent="0.25">
      <c r="G69"/>
      <c r="H69"/>
      <c r="I69"/>
      <c r="J69"/>
      <c r="K69"/>
      <c r="L69"/>
      <c r="M69"/>
      <c r="N69"/>
    </row>
    <row r="70" spans="7:14" hidden="1" x14ac:dyDescent="0.25">
      <c r="G70"/>
      <c r="H70"/>
      <c r="I70"/>
      <c r="J70"/>
      <c r="K70"/>
      <c r="L70"/>
      <c r="M70"/>
      <c r="N70"/>
    </row>
    <row r="71" spans="7:14" hidden="1" x14ac:dyDescent="0.25">
      <c r="G71"/>
      <c r="H71"/>
      <c r="I71"/>
      <c r="J71"/>
      <c r="K71"/>
      <c r="L71"/>
      <c r="M71"/>
      <c r="N71"/>
    </row>
    <row r="72" spans="7:14" hidden="1" x14ac:dyDescent="0.25">
      <c r="G72"/>
      <c r="H72"/>
      <c r="I72"/>
      <c r="J72"/>
      <c r="K72"/>
      <c r="L72"/>
      <c r="M72"/>
      <c r="N72"/>
    </row>
    <row r="73" spans="7:14" hidden="1" x14ac:dyDescent="0.25">
      <c r="G73"/>
      <c r="H73"/>
      <c r="I73"/>
      <c r="J73"/>
      <c r="K73"/>
      <c r="L73"/>
      <c r="M73"/>
      <c r="N73"/>
    </row>
    <row r="74" spans="7:14" hidden="1" x14ac:dyDescent="0.25">
      <c r="G74"/>
      <c r="H74"/>
      <c r="I74"/>
      <c r="J74"/>
      <c r="K74"/>
      <c r="L74"/>
      <c r="M74"/>
      <c r="N74"/>
    </row>
    <row r="75" spans="7:14" hidden="1" x14ac:dyDescent="0.25">
      <c r="G75"/>
      <c r="H75"/>
      <c r="I75"/>
      <c r="J75"/>
      <c r="K75"/>
      <c r="L75"/>
      <c r="M75"/>
      <c r="N75"/>
    </row>
    <row r="76" spans="7:14" hidden="1" x14ac:dyDescent="0.25">
      <c r="G76"/>
      <c r="H76"/>
      <c r="I76"/>
      <c r="J76"/>
      <c r="K76"/>
      <c r="L76"/>
      <c r="M76"/>
      <c r="N76"/>
    </row>
    <row r="77" spans="7:14" hidden="1" x14ac:dyDescent="0.25">
      <c r="G77"/>
      <c r="H77"/>
      <c r="I77"/>
      <c r="J77"/>
      <c r="K77"/>
      <c r="L77"/>
      <c r="M77"/>
      <c r="N77"/>
    </row>
    <row r="78" spans="7:14" hidden="1" x14ac:dyDescent="0.25">
      <c r="G78"/>
      <c r="H78"/>
      <c r="I78"/>
      <c r="J78"/>
      <c r="K78"/>
      <c r="L78"/>
      <c r="M78"/>
      <c r="N78"/>
    </row>
    <row r="79" spans="7:14" hidden="1" x14ac:dyDescent="0.25">
      <c r="G79"/>
      <c r="H79"/>
      <c r="I79"/>
      <c r="J79"/>
      <c r="K79"/>
      <c r="L79"/>
      <c r="M79"/>
      <c r="N79"/>
    </row>
    <row r="80" spans="7:14" hidden="1" x14ac:dyDescent="0.25">
      <c r="G80"/>
      <c r="H80"/>
      <c r="I80"/>
      <c r="J80"/>
      <c r="K80"/>
      <c r="L80"/>
      <c r="M80"/>
      <c r="N80"/>
    </row>
    <row r="81" spans="7:14" hidden="1" x14ac:dyDescent="0.25">
      <c r="G81"/>
      <c r="H81"/>
      <c r="I81"/>
      <c r="J81"/>
      <c r="K81"/>
      <c r="L81"/>
      <c r="M81"/>
      <c r="N81"/>
    </row>
    <row r="82" spans="7:14" hidden="1" x14ac:dyDescent="0.25">
      <c r="G82"/>
      <c r="H82"/>
      <c r="I82"/>
      <c r="J82"/>
      <c r="K82"/>
      <c r="L82"/>
      <c r="M82"/>
      <c r="N82"/>
    </row>
    <row r="83" spans="7:14" hidden="1" x14ac:dyDescent="0.25">
      <c r="G83"/>
      <c r="H83"/>
      <c r="I83"/>
      <c r="J83"/>
      <c r="K83"/>
      <c r="L83"/>
      <c r="M83"/>
      <c r="N83"/>
    </row>
    <row r="84" spans="7:14" hidden="1" x14ac:dyDescent="0.25">
      <c r="G84"/>
      <c r="H84"/>
      <c r="I84"/>
      <c r="J84"/>
      <c r="K84"/>
      <c r="L84"/>
      <c r="M84"/>
      <c r="N84"/>
    </row>
    <row r="85" spans="7:14" hidden="1" x14ac:dyDescent="0.25">
      <c r="G85"/>
      <c r="H85"/>
      <c r="I85"/>
      <c r="J85"/>
      <c r="K85"/>
      <c r="L85"/>
      <c r="M85"/>
      <c r="N85"/>
    </row>
    <row r="86" spans="7:14" hidden="1" x14ac:dyDescent="0.25">
      <c r="G86"/>
      <c r="H86"/>
      <c r="I86"/>
      <c r="J86"/>
      <c r="K86"/>
      <c r="L86"/>
      <c r="M86"/>
      <c r="N86"/>
    </row>
    <row r="87" spans="7:14" hidden="1" x14ac:dyDescent="0.25">
      <c r="G87"/>
      <c r="H87"/>
      <c r="I87"/>
      <c r="J87"/>
      <c r="K87"/>
      <c r="L87"/>
      <c r="M87"/>
      <c r="N87"/>
    </row>
    <row r="88" spans="7:14" hidden="1" x14ac:dyDescent="0.25">
      <c r="G88"/>
      <c r="H88"/>
      <c r="I88"/>
      <c r="J88"/>
      <c r="K88"/>
      <c r="L88"/>
      <c r="M88"/>
      <c r="N88"/>
    </row>
    <row r="89" spans="7:14" hidden="1" x14ac:dyDescent="0.25">
      <c r="G89"/>
      <c r="H89"/>
      <c r="I89"/>
      <c r="J89"/>
      <c r="K89"/>
      <c r="L89"/>
      <c r="M89"/>
      <c r="N89"/>
    </row>
    <row r="90" spans="7:14" hidden="1" x14ac:dyDescent="0.25">
      <c r="G90"/>
      <c r="H90"/>
      <c r="I90"/>
      <c r="J90"/>
      <c r="K90"/>
      <c r="L90"/>
      <c r="M90"/>
      <c r="N90"/>
    </row>
    <row r="91" spans="7:14" hidden="1" x14ac:dyDescent="0.25">
      <c r="G91"/>
      <c r="H91"/>
      <c r="I91"/>
      <c r="J91"/>
      <c r="K91"/>
      <c r="L91"/>
      <c r="M91"/>
      <c r="N91"/>
    </row>
    <row r="92" spans="7:14" hidden="1" x14ac:dyDescent="0.25">
      <c r="G92"/>
      <c r="H92"/>
      <c r="I92"/>
      <c r="J92"/>
      <c r="K92"/>
      <c r="L92"/>
      <c r="M92"/>
      <c r="N92"/>
    </row>
    <row r="93" spans="7:14" hidden="1" x14ac:dyDescent="0.25">
      <c r="G93"/>
      <c r="H93"/>
      <c r="I93"/>
      <c r="J93"/>
      <c r="K93"/>
      <c r="L93"/>
      <c r="M93"/>
      <c r="N93"/>
    </row>
    <row r="94" spans="7:14" hidden="1" x14ac:dyDescent="0.25">
      <c r="G94"/>
      <c r="H94"/>
      <c r="I94"/>
      <c r="J94"/>
      <c r="K94"/>
      <c r="L94"/>
      <c r="M94"/>
      <c r="N94"/>
    </row>
    <row r="95" spans="7:14" hidden="1" x14ac:dyDescent="0.25">
      <c r="G95"/>
      <c r="H95"/>
      <c r="I95"/>
      <c r="J95"/>
      <c r="K95"/>
      <c r="L95"/>
      <c r="M95"/>
      <c r="N95"/>
    </row>
    <row r="96" spans="7:14" hidden="1" x14ac:dyDescent="0.25">
      <c r="G96"/>
      <c r="H96"/>
      <c r="I96"/>
      <c r="J96"/>
      <c r="K96"/>
      <c r="L96"/>
      <c r="M96"/>
      <c r="N96"/>
    </row>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idden="1" x14ac:dyDescent="0.25">
      <c r="G105"/>
      <c r="H105"/>
      <c r="I105"/>
      <c r="J105"/>
      <c r="K105"/>
      <c r="L105"/>
      <c r="M105"/>
      <c r="N105"/>
    </row>
    <row r="106" spans="7:14" hidden="1" x14ac:dyDescent="0.25">
      <c r="G106"/>
      <c r="H106"/>
      <c r="I106"/>
      <c r="J106"/>
      <c r="K106"/>
      <c r="L106"/>
      <c r="M106"/>
      <c r="N106"/>
    </row>
    <row r="107" spans="7:14" hidden="1" x14ac:dyDescent="0.25">
      <c r="G107"/>
      <c r="H107"/>
      <c r="I107"/>
      <c r="J107"/>
      <c r="K107"/>
      <c r="L107"/>
      <c r="M107"/>
      <c r="N107"/>
    </row>
    <row r="108" spans="7:14" hidden="1" x14ac:dyDescent="0.25">
      <c r="G108"/>
      <c r="H108"/>
      <c r="I108"/>
      <c r="J108"/>
      <c r="K108"/>
      <c r="L108"/>
      <c r="M108"/>
      <c r="N108"/>
    </row>
    <row r="109" spans="7:14" hidden="1" x14ac:dyDescent="0.25">
      <c r="G109"/>
      <c r="H109"/>
      <c r="I109"/>
      <c r="J109"/>
      <c r="K109"/>
      <c r="L109"/>
      <c r="M109"/>
      <c r="N109"/>
    </row>
    <row r="110" spans="7:14" hidden="1" x14ac:dyDescent="0.25">
      <c r="G110"/>
      <c r="H110"/>
      <c r="I110"/>
      <c r="J110"/>
      <c r="K110"/>
      <c r="L110"/>
      <c r="M110"/>
      <c r="N110"/>
    </row>
    <row r="111" spans="7:14" hidden="1" x14ac:dyDescent="0.25">
      <c r="G111"/>
      <c r="H111"/>
      <c r="I111"/>
      <c r="J111"/>
      <c r="K111"/>
      <c r="L111"/>
      <c r="M111"/>
      <c r="N111"/>
    </row>
    <row r="112" spans="7:14" hidden="1" x14ac:dyDescent="0.25">
      <c r="G112"/>
      <c r="H112"/>
      <c r="I112"/>
      <c r="J112"/>
      <c r="K112"/>
      <c r="L112"/>
      <c r="M112"/>
      <c r="N112"/>
    </row>
    <row r="113" spans="7:14" hidden="1" x14ac:dyDescent="0.25">
      <c r="G113"/>
      <c r="H113"/>
      <c r="I113"/>
      <c r="J113"/>
      <c r="K113"/>
      <c r="L113"/>
      <c r="M113"/>
      <c r="N113"/>
    </row>
    <row r="114" spans="7:14" hidden="1" x14ac:dyDescent="0.25">
      <c r="G114"/>
      <c r="H114"/>
      <c r="I114"/>
      <c r="J114"/>
      <c r="K114"/>
      <c r="L114"/>
      <c r="M114"/>
      <c r="N114"/>
    </row>
    <row r="115" spans="7:14" hidden="1" x14ac:dyDescent="0.25">
      <c r="G115"/>
      <c r="H115"/>
      <c r="I115"/>
      <c r="J115"/>
      <c r="K115"/>
      <c r="L115"/>
      <c r="M115"/>
      <c r="N115"/>
    </row>
    <row r="116" spans="7:14" hidden="1" x14ac:dyDescent="0.25">
      <c r="G116"/>
      <c r="H116"/>
      <c r="I116"/>
      <c r="J116"/>
      <c r="K116"/>
      <c r="L116"/>
      <c r="M116"/>
      <c r="N116"/>
    </row>
    <row r="117" spans="7:14" hidden="1" x14ac:dyDescent="0.25">
      <c r="G117"/>
      <c r="H117"/>
      <c r="I117"/>
      <c r="J117"/>
      <c r="K117"/>
      <c r="L117"/>
      <c r="M117"/>
      <c r="N117"/>
    </row>
    <row r="118" spans="7:14" hidden="1" x14ac:dyDescent="0.25">
      <c r="G118"/>
      <c r="H118"/>
      <c r="I118"/>
      <c r="J118"/>
      <c r="K118"/>
      <c r="L118"/>
      <c r="M118"/>
      <c r="N118"/>
    </row>
    <row r="119" spans="7:14" hidden="1" x14ac:dyDescent="0.25">
      <c r="G119"/>
      <c r="H119"/>
      <c r="I119"/>
      <c r="J119"/>
      <c r="K119"/>
      <c r="L119"/>
      <c r="M119"/>
      <c r="N119"/>
    </row>
    <row r="120" spans="7:14" hidden="1" x14ac:dyDescent="0.25">
      <c r="G120"/>
      <c r="H120"/>
      <c r="I120"/>
      <c r="J120"/>
      <c r="K120"/>
      <c r="L120"/>
      <c r="M120"/>
      <c r="N120"/>
    </row>
    <row r="121" spans="7:14" hidden="1" x14ac:dyDescent="0.25">
      <c r="G121"/>
      <c r="H121"/>
      <c r="I121"/>
      <c r="J121"/>
      <c r="K121"/>
      <c r="L121"/>
      <c r="M121"/>
      <c r="N121"/>
    </row>
    <row r="122" spans="7:14" hidden="1" x14ac:dyDescent="0.25">
      <c r="G122"/>
      <c r="H122"/>
      <c r="I122"/>
      <c r="J122"/>
      <c r="K122"/>
      <c r="L122"/>
      <c r="M122"/>
      <c r="N122"/>
    </row>
    <row r="123" spans="7:14" hidden="1" x14ac:dyDescent="0.25">
      <c r="G123"/>
      <c r="H123"/>
      <c r="I123"/>
      <c r="J123"/>
      <c r="K123"/>
      <c r="L123"/>
      <c r="M123"/>
      <c r="N123"/>
    </row>
  </sheetData>
  <sheetProtection algorithmName="SHA-512" hashValue="m/OFBhTCgzKgb99zoCLg8aMRNCmN4uTuf5/kXMmRqPhYxYSfiWFn/8LIwMYPqu9vUEqXeWBSugi8qFRjv+E00A==" saltValue="Q7CTHFCgYWFj7NWTYQ+DZA==" spinCount="100000" sheet="1" objects="1" scenarios="1"/>
  <mergeCells count="13">
    <mergeCell ref="G11:G12"/>
    <mergeCell ref="G10:M10"/>
    <mergeCell ref="H11:M11"/>
    <mergeCell ref="N11:N12"/>
    <mergeCell ref="N49:N51"/>
    <mergeCell ref="H13:N13"/>
    <mergeCell ref="H21:N21"/>
    <mergeCell ref="H28:N28"/>
    <mergeCell ref="H38:N38"/>
    <mergeCell ref="H42:N42"/>
    <mergeCell ref="G49:L49"/>
    <mergeCell ref="G50:L50"/>
    <mergeCell ref="G51:L51"/>
  </mergeCells>
  <pageMargins left="0.7" right="0.7" top="0.75" bottom="0.75" header="0.3" footer="0.3"/>
  <pageSetup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E1:Q124"/>
  <sheetViews>
    <sheetView showGridLines="0" topLeftCell="F9" zoomScale="96" zoomScaleNormal="96"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54.140625" style="27" customWidth="1"/>
    <col min="8" max="13" width="16.7109375" style="27" customWidth="1"/>
    <col min="14" max="14" width="20.7109375" style="27" customWidth="1"/>
    <col min="15" max="15" width="2.7109375" customWidth="1"/>
    <col min="16" max="16" width="2.7109375" hidden="1" customWidth="1"/>
    <col min="17" max="17" width="0" hidden="1" customWidth="1"/>
    <col min="18"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ht="36.950000000000003" customHeight="1" x14ac:dyDescent="0.25"/>
    <row r="10" spans="7:14" ht="20.100000000000001" customHeight="1" x14ac:dyDescent="0.25">
      <c r="G10" s="676" t="s">
        <v>334</v>
      </c>
      <c r="H10" s="677"/>
      <c r="I10" s="677"/>
      <c r="J10" s="677"/>
      <c r="K10" s="677"/>
      <c r="L10" s="677"/>
      <c r="M10" s="678"/>
      <c r="N10" s="252" t="s">
        <v>346</v>
      </c>
    </row>
    <row r="11" spans="7:14" ht="20.100000000000001" customHeight="1" x14ac:dyDescent="0.25">
      <c r="G11" s="682" t="s">
        <v>1</v>
      </c>
      <c r="H11" s="676" t="s">
        <v>237</v>
      </c>
      <c r="I11" s="677"/>
      <c r="J11" s="677"/>
      <c r="K11" s="677"/>
      <c r="L11" s="677"/>
      <c r="M11" s="678"/>
      <c r="N11" s="682" t="s">
        <v>729</v>
      </c>
    </row>
    <row r="12" spans="7:14" ht="30" x14ac:dyDescent="0.25">
      <c r="G12" s="683"/>
      <c r="H12" s="194" t="s">
        <v>333</v>
      </c>
      <c r="I12" s="194" t="s">
        <v>311</v>
      </c>
      <c r="J12" s="194" t="s">
        <v>255</v>
      </c>
      <c r="K12" s="194" t="s">
        <v>254</v>
      </c>
      <c r="L12" s="194" t="s">
        <v>332</v>
      </c>
      <c r="M12" s="194" t="s">
        <v>686</v>
      </c>
      <c r="N12" s="683"/>
    </row>
    <row r="13" spans="7:14" ht="20.100000000000001" customHeight="1" x14ac:dyDescent="0.25">
      <c r="G13" s="10" t="s">
        <v>730</v>
      </c>
      <c r="H13" s="670"/>
      <c r="I13" s="671"/>
      <c r="J13" s="671"/>
      <c r="K13" s="671"/>
      <c r="L13" s="671"/>
      <c r="M13" s="671"/>
      <c r="N13" s="672"/>
    </row>
    <row r="14" spans="7:14" x14ac:dyDescent="0.25">
      <c r="G14" s="168" t="s">
        <v>541</v>
      </c>
      <c r="H14" s="124">
        <v>120308897.98999999</v>
      </c>
      <c r="I14" s="124">
        <v>15429064</v>
      </c>
      <c r="J14" s="124">
        <v>43801058</v>
      </c>
      <c r="K14" s="124">
        <v>1271397</v>
      </c>
      <c r="L14" s="124">
        <v>17840803</v>
      </c>
      <c r="M14" s="133">
        <f>SUM(H14:L14)</f>
        <v>198651219.99000001</v>
      </c>
      <c r="N14" s="162">
        <v>116510871</v>
      </c>
    </row>
    <row r="15" spans="7:14" x14ac:dyDescent="0.25">
      <c r="G15" s="121" t="s">
        <v>542</v>
      </c>
      <c r="H15" s="123">
        <v>17714363</v>
      </c>
      <c r="I15" s="123">
        <v>5126873</v>
      </c>
      <c r="J15" s="123">
        <v>12105840</v>
      </c>
      <c r="K15" s="123">
        <v>1529728</v>
      </c>
      <c r="L15" s="123">
        <v>3442480</v>
      </c>
      <c r="M15" s="128">
        <f>SUM(H15:L15)</f>
        <v>39919284</v>
      </c>
      <c r="N15" s="164">
        <v>6860222</v>
      </c>
    </row>
    <row r="16" spans="7:14" x14ac:dyDescent="0.25">
      <c r="G16" s="121" t="s">
        <v>543</v>
      </c>
      <c r="H16" s="123">
        <v>25647845</v>
      </c>
      <c r="I16" s="123">
        <v>1058493</v>
      </c>
      <c r="J16" s="123">
        <v>13060767</v>
      </c>
      <c r="K16" s="123">
        <v>313589</v>
      </c>
      <c r="L16" s="123">
        <v>7090759</v>
      </c>
      <c r="M16" s="128">
        <f>SUM(H16:L16)</f>
        <v>47171453</v>
      </c>
      <c r="N16" s="164">
        <v>81305477</v>
      </c>
    </row>
    <row r="17" spans="7:14" x14ac:dyDescent="0.25">
      <c r="G17" s="121" t="s">
        <v>544</v>
      </c>
      <c r="H17" s="123">
        <v>19924111</v>
      </c>
      <c r="I17" s="123">
        <v>4809540</v>
      </c>
      <c r="J17" s="123">
        <v>14274004</v>
      </c>
      <c r="K17" s="123">
        <v>840147</v>
      </c>
      <c r="L17" s="123">
        <v>5744556</v>
      </c>
      <c r="M17" s="128">
        <f>SUM(H17:L17)</f>
        <v>45592358</v>
      </c>
      <c r="N17" s="164">
        <v>12353680</v>
      </c>
    </row>
    <row r="18" spans="7:14" ht="20.100000000000001" customHeight="1" x14ac:dyDescent="0.25">
      <c r="G18" s="159" t="s">
        <v>1231</v>
      </c>
      <c r="H18" s="139">
        <f>IF(COUNT(H14:H17),SUM(H14)-SUM(H15:H17),"")</f>
        <v>57022578.989999995</v>
      </c>
      <c r="I18" s="139">
        <f t="shared" ref="I18:N18" si="0">IF(COUNT(I14:I17),SUM(I14)-SUM(I15:I17),"")</f>
        <v>4434158</v>
      </c>
      <c r="J18" s="139">
        <f t="shared" si="0"/>
        <v>4360447</v>
      </c>
      <c r="K18" s="139">
        <f t="shared" si="0"/>
        <v>-1412067</v>
      </c>
      <c r="L18" s="139">
        <f t="shared" si="0"/>
        <v>1563008</v>
      </c>
      <c r="M18" s="139">
        <f t="shared" si="0"/>
        <v>65968124.99000001</v>
      </c>
      <c r="N18" s="139">
        <f t="shared" si="0"/>
        <v>15991492</v>
      </c>
    </row>
    <row r="19" spans="7:14" ht="20.100000000000001" customHeight="1" x14ac:dyDescent="0.25">
      <c r="G19" s="125" t="s">
        <v>731</v>
      </c>
      <c r="H19" s="673"/>
      <c r="I19" s="674"/>
      <c r="J19" s="674"/>
      <c r="K19" s="674"/>
      <c r="L19" s="674"/>
      <c r="M19" s="674"/>
      <c r="N19" s="675"/>
    </row>
    <row r="20" spans="7:14" x14ac:dyDescent="0.25">
      <c r="G20" s="121" t="s">
        <v>1232</v>
      </c>
      <c r="H20" s="123">
        <v>1162590</v>
      </c>
      <c r="I20" s="123">
        <v>85968</v>
      </c>
      <c r="J20" s="123">
        <v>229703</v>
      </c>
      <c r="K20" s="123">
        <v>86221</v>
      </c>
      <c r="L20" s="123">
        <v>1192</v>
      </c>
      <c r="M20" s="128">
        <f>SUM(H20:L20)</f>
        <v>1565674</v>
      </c>
      <c r="N20" s="164">
        <v>45428</v>
      </c>
    </row>
    <row r="21" spans="7:14" x14ac:dyDescent="0.25">
      <c r="G21" s="121" t="s">
        <v>545</v>
      </c>
      <c r="H21" s="123">
        <v>3800000</v>
      </c>
      <c r="I21" s="123">
        <v>0</v>
      </c>
      <c r="J21" s="123">
        <v>0</v>
      </c>
      <c r="K21" s="123">
        <v>0</v>
      </c>
      <c r="L21" s="123">
        <v>-2149800</v>
      </c>
      <c r="M21" s="128">
        <f>SUM(H21:L21)</f>
        <v>1650200</v>
      </c>
      <c r="N21" s="164">
        <v>0</v>
      </c>
    </row>
    <row r="22" spans="7:14" x14ac:dyDescent="0.25">
      <c r="G22" s="121" t="s">
        <v>546</v>
      </c>
      <c r="H22" s="123">
        <v>0</v>
      </c>
      <c r="I22" s="123">
        <v>0</v>
      </c>
      <c r="J22" s="123">
        <v>0</v>
      </c>
      <c r="K22" s="123">
        <v>2336359</v>
      </c>
      <c r="L22" s="123">
        <v>892747</v>
      </c>
      <c r="M22" s="128">
        <f>SUM(H22:L22)</f>
        <v>3229106</v>
      </c>
      <c r="N22" s="164">
        <v>0</v>
      </c>
    </row>
    <row r="23" spans="7:14" x14ac:dyDescent="0.25">
      <c r="G23" s="121" t="s">
        <v>547</v>
      </c>
      <c r="H23" s="123">
        <v>12044024</v>
      </c>
      <c r="I23" s="123">
        <v>2178724</v>
      </c>
      <c r="J23" s="123">
        <v>2886111</v>
      </c>
      <c r="K23" s="123">
        <v>0</v>
      </c>
      <c r="L23" s="123">
        <v>1904290</v>
      </c>
      <c r="M23" s="128">
        <f>SUM(H23:L23)</f>
        <v>19013149</v>
      </c>
      <c r="N23" s="164">
        <v>4308134</v>
      </c>
    </row>
    <row r="24" spans="7:14" ht="32.25" customHeight="1" x14ac:dyDescent="0.25">
      <c r="G24" s="159" t="s">
        <v>331</v>
      </c>
      <c r="H24" s="139">
        <f>+IF(COUNT(H20:H23),SUM(H20:H22)-SUM(H23),"")</f>
        <v>-7081434</v>
      </c>
      <c r="I24" s="139">
        <f t="shared" ref="I24:N24" si="1">+IF(COUNT(I20:I23),SUM(I20:I22)-SUM(I23),"")</f>
        <v>-2092756</v>
      </c>
      <c r="J24" s="139">
        <f t="shared" si="1"/>
        <v>-2656408</v>
      </c>
      <c r="K24" s="139">
        <f t="shared" si="1"/>
        <v>2422580</v>
      </c>
      <c r="L24" s="139">
        <f t="shared" si="1"/>
        <v>-3160151</v>
      </c>
      <c r="M24" s="139">
        <f t="shared" si="1"/>
        <v>-12568169</v>
      </c>
      <c r="N24" s="139">
        <f t="shared" si="1"/>
        <v>-4262706</v>
      </c>
    </row>
    <row r="25" spans="7:14" ht="20.100000000000001" customHeight="1" x14ac:dyDescent="0.25">
      <c r="G25" s="125" t="s">
        <v>732</v>
      </c>
      <c r="H25" s="692"/>
      <c r="I25" s="693"/>
      <c r="J25" s="693"/>
      <c r="K25" s="693"/>
      <c r="L25" s="693"/>
      <c r="M25" s="693"/>
      <c r="N25" s="694"/>
    </row>
    <row r="26" spans="7:14" x14ac:dyDescent="0.25">
      <c r="G26" s="168" t="s">
        <v>548</v>
      </c>
      <c r="H26" s="124">
        <v>112819448.84999999</v>
      </c>
      <c r="I26" s="124">
        <v>0</v>
      </c>
      <c r="J26" s="124">
        <v>0</v>
      </c>
      <c r="K26" s="124">
        <v>0</v>
      </c>
      <c r="L26" s="124">
        <v>5735000</v>
      </c>
      <c r="M26" s="128">
        <f t="shared" ref="M26:M35" si="2">SUM(H26:L26)</f>
        <v>118554448.84999999</v>
      </c>
      <c r="N26" s="162">
        <v>0</v>
      </c>
    </row>
    <row r="27" spans="7:14" ht="30" x14ac:dyDescent="0.25">
      <c r="G27" s="543" t="s">
        <v>330</v>
      </c>
      <c r="H27" s="123">
        <v>1602013</v>
      </c>
      <c r="I27" s="123">
        <v>0</v>
      </c>
      <c r="J27" s="123">
        <v>1081906</v>
      </c>
      <c r="K27" s="123">
        <v>0</v>
      </c>
      <c r="L27" s="123">
        <v>0</v>
      </c>
      <c r="M27" s="128">
        <f t="shared" si="2"/>
        <v>2683919</v>
      </c>
      <c r="N27" s="164">
        <v>0</v>
      </c>
    </row>
    <row r="28" spans="7:14" x14ac:dyDescent="0.25">
      <c r="G28" s="121" t="s">
        <v>549</v>
      </c>
      <c r="H28" s="123">
        <v>-79229252.840000004</v>
      </c>
      <c r="I28" s="123">
        <v>-1849478.37</v>
      </c>
      <c r="J28" s="123">
        <v>-2096357.88</v>
      </c>
      <c r="K28" s="123">
        <v>-1538950</v>
      </c>
      <c r="L28" s="123">
        <v>-707581</v>
      </c>
      <c r="M28" s="128">
        <f t="shared" si="2"/>
        <v>-85421620.090000004</v>
      </c>
      <c r="N28" s="164">
        <v>-2933854</v>
      </c>
    </row>
    <row r="29" spans="7:14" x14ac:dyDescent="0.25">
      <c r="G29" s="121" t="s">
        <v>550</v>
      </c>
      <c r="H29" s="123">
        <v>0</v>
      </c>
      <c r="I29" s="123">
        <v>0</v>
      </c>
      <c r="J29" s="123">
        <v>0</v>
      </c>
      <c r="K29" s="123">
        <v>0</v>
      </c>
      <c r="L29" s="123">
        <v>0</v>
      </c>
      <c r="M29" s="128">
        <f t="shared" si="2"/>
        <v>0</v>
      </c>
      <c r="N29" s="164">
        <v>741819</v>
      </c>
    </row>
    <row r="30" spans="7:14" x14ac:dyDescent="0.25">
      <c r="G30" s="121" t="s">
        <v>329</v>
      </c>
      <c r="H30" s="123">
        <v>930602</v>
      </c>
      <c r="I30" s="123">
        <v>0</v>
      </c>
      <c r="J30" s="123">
        <v>0</v>
      </c>
      <c r="K30" s="123">
        <v>0</v>
      </c>
      <c r="L30" s="123">
        <v>0</v>
      </c>
      <c r="M30" s="128">
        <f t="shared" si="2"/>
        <v>930602</v>
      </c>
      <c r="N30" s="164">
        <v>0</v>
      </c>
    </row>
    <row r="31" spans="7:14" x14ac:dyDescent="0.25">
      <c r="G31" s="121" t="s">
        <v>551</v>
      </c>
      <c r="H31" s="123">
        <v>1838563</v>
      </c>
      <c r="I31" s="123">
        <v>0</v>
      </c>
      <c r="J31" s="123">
        <v>0</v>
      </c>
      <c r="K31" s="123">
        <v>0</v>
      </c>
      <c r="L31" s="123">
        <v>67498</v>
      </c>
      <c r="M31" s="128">
        <f t="shared" si="2"/>
        <v>1906061</v>
      </c>
      <c r="N31" s="164">
        <v>0</v>
      </c>
    </row>
    <row r="32" spans="7:14" ht="30" x14ac:dyDescent="0.25">
      <c r="G32" s="543" t="s">
        <v>552</v>
      </c>
      <c r="H32" s="123">
        <v>15186377</v>
      </c>
      <c r="I32" s="123">
        <v>217678</v>
      </c>
      <c r="J32" s="123">
        <v>61416</v>
      </c>
      <c r="K32" s="123">
        <v>0</v>
      </c>
      <c r="L32" s="123">
        <v>155180</v>
      </c>
      <c r="M32" s="128">
        <f t="shared" si="2"/>
        <v>15620651</v>
      </c>
      <c r="N32" s="164">
        <v>0</v>
      </c>
    </row>
    <row r="33" spans="7:14" ht="30" x14ac:dyDescent="0.25">
      <c r="G33" s="543" t="s">
        <v>553</v>
      </c>
      <c r="H33" s="123">
        <v>8347465.7599999998</v>
      </c>
      <c r="I33" s="123">
        <v>0</v>
      </c>
      <c r="J33" s="123">
        <v>1230000</v>
      </c>
      <c r="K33" s="123">
        <v>0</v>
      </c>
      <c r="L33" s="123">
        <v>195000</v>
      </c>
      <c r="M33" s="128">
        <f t="shared" si="2"/>
        <v>9772465.7599999998</v>
      </c>
      <c r="N33" s="164">
        <v>0</v>
      </c>
    </row>
    <row r="34" spans="7:14" x14ac:dyDescent="0.25">
      <c r="G34" s="121" t="s">
        <v>554</v>
      </c>
      <c r="H34" s="123">
        <v>53015946</v>
      </c>
      <c r="I34" s="123">
        <v>0</v>
      </c>
      <c r="J34" s="123">
        <v>0</v>
      </c>
      <c r="K34" s="123">
        <v>0</v>
      </c>
      <c r="L34" s="123">
        <v>3555485</v>
      </c>
      <c r="M34" s="128">
        <f t="shared" si="2"/>
        <v>56571431</v>
      </c>
      <c r="N34" s="164">
        <v>0</v>
      </c>
    </row>
    <row r="35" spans="7:14" x14ac:dyDescent="0.25">
      <c r="G35" s="121" t="s">
        <v>328</v>
      </c>
      <c r="H35" s="123">
        <v>2876545</v>
      </c>
      <c r="I35" s="123">
        <v>485478</v>
      </c>
      <c r="J35" s="123">
        <v>71138</v>
      </c>
      <c r="K35" s="123">
        <v>0</v>
      </c>
      <c r="L35" s="123">
        <v>3185498</v>
      </c>
      <c r="M35" s="128">
        <f t="shared" si="2"/>
        <v>6618659</v>
      </c>
      <c r="N35" s="164">
        <v>0</v>
      </c>
    </row>
    <row r="36" spans="7:14" ht="20.100000000000001" customHeight="1" x14ac:dyDescent="0.25">
      <c r="G36" s="169" t="s">
        <v>327</v>
      </c>
      <c r="H36" s="139">
        <f>+IF(COUNT(H26:H35),SUM(H26:H30)-SUM(H31:H34)+SUM(H35),"")</f>
        <v>-39388995.75</v>
      </c>
      <c r="I36" s="139">
        <f t="shared" ref="I36:N36" si="3">+IF(COUNT(I26:I35),SUM(I26:I30)-SUM(I31:I34)+SUM(I35),"")</f>
        <v>-1581678.37</v>
      </c>
      <c r="J36" s="139">
        <f t="shared" si="3"/>
        <v>-2234729.88</v>
      </c>
      <c r="K36" s="139">
        <f t="shared" si="3"/>
        <v>-1538950</v>
      </c>
      <c r="L36" s="139">
        <f t="shared" si="3"/>
        <v>4239754</v>
      </c>
      <c r="M36" s="139">
        <f t="shared" si="3"/>
        <v>-40504600</v>
      </c>
      <c r="N36" s="139">
        <f t="shared" si="3"/>
        <v>-2192035</v>
      </c>
    </row>
    <row r="37" spans="7:14" ht="30" x14ac:dyDescent="0.25">
      <c r="G37" s="169" t="s">
        <v>326</v>
      </c>
      <c r="H37" s="139">
        <f>+H24+H36</f>
        <v>-46470429.75</v>
      </c>
      <c r="I37" s="139">
        <f t="shared" ref="I37:N37" si="4">+I24+I36</f>
        <v>-3674434.37</v>
      </c>
      <c r="J37" s="139">
        <f t="shared" si="4"/>
        <v>-4891137.88</v>
      </c>
      <c r="K37" s="139">
        <f t="shared" si="4"/>
        <v>883630</v>
      </c>
      <c r="L37" s="139">
        <f t="shared" si="4"/>
        <v>1079603</v>
      </c>
      <c r="M37" s="139">
        <f t="shared" si="4"/>
        <v>-53072769</v>
      </c>
      <c r="N37" s="139">
        <f t="shared" si="4"/>
        <v>-6454741</v>
      </c>
    </row>
    <row r="38" spans="7:14" ht="20.100000000000001" customHeight="1" x14ac:dyDescent="0.25">
      <c r="G38" s="125" t="s">
        <v>733</v>
      </c>
      <c r="H38" s="692"/>
      <c r="I38" s="693"/>
      <c r="J38" s="693"/>
      <c r="K38" s="693"/>
      <c r="L38" s="693"/>
      <c r="M38" s="693"/>
      <c r="N38" s="694"/>
    </row>
    <row r="39" spans="7:14" x14ac:dyDescent="0.25">
      <c r="G39" s="173" t="s">
        <v>555</v>
      </c>
      <c r="H39" s="157">
        <v>-24313890</v>
      </c>
      <c r="I39" s="157">
        <v>346009</v>
      </c>
      <c r="J39" s="157">
        <v>-1987899</v>
      </c>
      <c r="K39" s="157">
        <v>-10508</v>
      </c>
      <c r="L39" s="157">
        <v>-2942175</v>
      </c>
      <c r="M39" s="156">
        <f>SUM(H39:L39)</f>
        <v>-28908463</v>
      </c>
      <c r="N39" s="157">
        <v>204986</v>
      </c>
    </row>
    <row r="40" spans="7:14" x14ac:dyDescent="0.25">
      <c r="G40" s="173" t="s">
        <v>556</v>
      </c>
      <c r="H40" s="157">
        <v>2962414</v>
      </c>
      <c r="I40" s="157">
        <v>178890</v>
      </c>
      <c r="J40" s="157">
        <v>631248</v>
      </c>
      <c r="K40" s="157">
        <v>5558</v>
      </c>
      <c r="L40" s="157">
        <v>157799</v>
      </c>
      <c r="M40" s="156">
        <f>SUM(H40:L40)</f>
        <v>3935909</v>
      </c>
      <c r="N40" s="157"/>
    </row>
    <row r="41" spans="7:14" ht="20.100000000000001" customHeight="1" x14ac:dyDescent="0.25">
      <c r="G41" s="169" t="s">
        <v>325</v>
      </c>
      <c r="H41" s="139">
        <f>+SUM(H39:H40)</f>
        <v>-21351476</v>
      </c>
      <c r="I41" s="139">
        <f t="shared" ref="I41:N41" si="5">+SUM(I39:I40)</f>
        <v>524899</v>
      </c>
      <c r="J41" s="139">
        <f t="shared" si="5"/>
        <v>-1356651</v>
      </c>
      <c r="K41" s="139">
        <f t="shared" si="5"/>
        <v>-4950</v>
      </c>
      <c r="L41" s="139">
        <f t="shared" si="5"/>
        <v>-2784376</v>
      </c>
      <c r="M41" s="139">
        <f t="shared" si="5"/>
        <v>-24972554</v>
      </c>
      <c r="N41" s="139">
        <f t="shared" si="5"/>
        <v>204986</v>
      </c>
    </row>
    <row r="42" spans="7:14" ht="20.100000000000001" customHeight="1" x14ac:dyDescent="0.25">
      <c r="G42" s="169" t="s">
        <v>734</v>
      </c>
      <c r="H42" s="139">
        <f>+SUM(H18+H37+H41)</f>
        <v>-10799326.760000005</v>
      </c>
      <c r="I42" s="139">
        <f t="shared" ref="I42:N42" si="6">+SUM(I18+I37+I41)</f>
        <v>1284622.6299999999</v>
      </c>
      <c r="J42" s="139">
        <f t="shared" si="6"/>
        <v>-1887341.88</v>
      </c>
      <c r="K42" s="139">
        <f t="shared" si="6"/>
        <v>-533387</v>
      </c>
      <c r="L42" s="139">
        <f t="shared" si="6"/>
        <v>-141765</v>
      </c>
      <c r="M42" s="139">
        <f t="shared" si="6"/>
        <v>-12077198.00999999</v>
      </c>
      <c r="N42" s="139">
        <f t="shared" si="6"/>
        <v>9741737</v>
      </c>
    </row>
    <row r="43" spans="7:14" x14ac:dyDescent="0.25">
      <c r="G43" s="172" t="s">
        <v>735</v>
      </c>
      <c r="H43" s="157">
        <v>46893231</v>
      </c>
      <c r="I43" s="157">
        <v>1108969</v>
      </c>
      <c r="J43" s="157">
        <v>4326719</v>
      </c>
      <c r="K43" s="157">
        <v>1197352</v>
      </c>
      <c r="L43" s="157">
        <v>2697049</v>
      </c>
      <c r="M43" s="156">
        <f>SUM(H43:L43)</f>
        <v>56223320</v>
      </c>
      <c r="N43" s="165">
        <v>14531733</v>
      </c>
    </row>
    <row r="44" spans="7:14" ht="20.100000000000001" customHeight="1" x14ac:dyDescent="0.25">
      <c r="G44" s="169" t="s">
        <v>736</v>
      </c>
      <c r="H44" s="139">
        <f>+H42+H43</f>
        <v>36093904.239999995</v>
      </c>
      <c r="I44" s="139">
        <f t="shared" ref="I44:N44" si="7">+I42+I43</f>
        <v>2393591.63</v>
      </c>
      <c r="J44" s="139">
        <f t="shared" si="7"/>
        <v>2439377.12</v>
      </c>
      <c r="K44" s="139">
        <f t="shared" si="7"/>
        <v>663965</v>
      </c>
      <c r="L44" s="139">
        <f t="shared" si="7"/>
        <v>2555284</v>
      </c>
      <c r="M44" s="139">
        <f t="shared" si="7"/>
        <v>44146121.99000001</v>
      </c>
      <c r="N44" s="139">
        <f t="shared" si="7"/>
        <v>24273470</v>
      </c>
    </row>
    <row r="45" spans="7:14" x14ac:dyDescent="0.25">
      <c r="G45" s="49"/>
      <c r="H45" s="49"/>
      <c r="I45" s="49"/>
      <c r="J45" s="49"/>
      <c r="K45" s="49"/>
      <c r="L45" s="49"/>
      <c r="M45" s="49"/>
      <c r="N45" s="49"/>
    </row>
    <row r="46" spans="7:14" ht="30" customHeight="1" x14ac:dyDescent="0.25">
      <c r="G46" s="766" t="s">
        <v>324</v>
      </c>
      <c r="H46" s="767"/>
      <c r="I46" s="767"/>
      <c r="J46" s="767"/>
      <c r="K46" s="767"/>
      <c r="L46" s="767"/>
      <c r="M46" s="767"/>
      <c r="N46" s="768"/>
    </row>
    <row r="47" spans="7:14" x14ac:dyDescent="0.25">
      <c r="G47" s="171" t="s">
        <v>323</v>
      </c>
      <c r="H47" s="157">
        <v>21614059</v>
      </c>
      <c r="I47" s="157">
        <v>50440</v>
      </c>
      <c r="J47" s="157">
        <v>1730426</v>
      </c>
      <c r="K47" s="157">
        <v>-4933039</v>
      </c>
      <c r="L47" s="157">
        <v>-2953152</v>
      </c>
      <c r="M47" s="157">
        <f>SUM(H47:L47)</f>
        <v>15508734</v>
      </c>
      <c r="N47" s="157">
        <v>2941911</v>
      </c>
    </row>
    <row r="48" spans="7:14" ht="30" x14ac:dyDescent="0.25">
      <c r="G48" s="125" t="s">
        <v>322</v>
      </c>
      <c r="H48" s="673"/>
      <c r="I48" s="674"/>
      <c r="J48" s="674"/>
      <c r="K48" s="674"/>
      <c r="L48" s="674"/>
      <c r="M48" s="674"/>
      <c r="N48" s="675"/>
    </row>
    <row r="49" spans="7:14" x14ac:dyDescent="0.25">
      <c r="G49" s="228" t="s">
        <v>1233</v>
      </c>
      <c r="H49" s="213">
        <v>18433491.469999999</v>
      </c>
      <c r="I49" s="213">
        <v>4068860</v>
      </c>
      <c r="J49" s="213">
        <v>2055589</v>
      </c>
      <c r="K49" s="213">
        <v>3580310</v>
      </c>
      <c r="L49" s="213">
        <v>4420112</v>
      </c>
      <c r="M49" s="244">
        <f>SUM(H49:L49)</f>
        <v>32558362.469999999</v>
      </c>
      <c r="N49" s="213">
        <v>6693609</v>
      </c>
    </row>
    <row r="50" spans="7:14" x14ac:dyDescent="0.25">
      <c r="G50" s="231" t="s">
        <v>558</v>
      </c>
      <c r="H50" s="246">
        <v>-1116793</v>
      </c>
      <c r="I50" s="246">
        <v>-318408</v>
      </c>
      <c r="J50" s="246">
        <v>-604525</v>
      </c>
      <c r="K50" s="246">
        <v>0</v>
      </c>
      <c r="L50" s="246">
        <v>-150976</v>
      </c>
      <c r="M50" s="247">
        <f>SUM(H50:L50)</f>
        <v>-2190702</v>
      </c>
      <c r="N50" s="246">
        <v>-158248</v>
      </c>
    </row>
    <row r="51" spans="7:14" x14ac:dyDescent="0.25">
      <c r="G51" s="234" t="s">
        <v>559</v>
      </c>
      <c r="H51" s="253">
        <v>1015722.99</v>
      </c>
      <c r="I51" s="253">
        <v>18902</v>
      </c>
      <c r="J51" s="253">
        <v>387912</v>
      </c>
      <c r="K51" s="253">
        <v>0</v>
      </c>
      <c r="L51" s="253">
        <v>-9052</v>
      </c>
      <c r="M51" s="247">
        <f>SUM(H51:L51)</f>
        <v>1413484.99</v>
      </c>
      <c r="N51" s="253"/>
    </row>
    <row r="52" spans="7:14" ht="20.100000000000001" customHeight="1" x14ac:dyDescent="0.25">
      <c r="G52" s="125" t="s">
        <v>321</v>
      </c>
      <c r="H52" s="673"/>
      <c r="I52" s="674"/>
      <c r="J52" s="674"/>
      <c r="K52" s="674"/>
      <c r="L52" s="674"/>
      <c r="M52" s="674"/>
      <c r="N52" s="675"/>
    </row>
    <row r="53" spans="7:14" s="17" customFormat="1" x14ac:dyDescent="0.25">
      <c r="G53" s="254" t="s">
        <v>560</v>
      </c>
      <c r="H53" s="255">
        <v>-3458331</v>
      </c>
      <c r="I53" s="255">
        <v>-244351</v>
      </c>
      <c r="J53" s="255">
        <v>-347616</v>
      </c>
      <c r="K53" s="255">
        <v>-88443</v>
      </c>
      <c r="L53" s="255">
        <v>83012</v>
      </c>
      <c r="M53" s="256">
        <f>SUM(H53:L53)</f>
        <v>-4055729</v>
      </c>
      <c r="N53" s="257">
        <v>217350</v>
      </c>
    </row>
    <row r="54" spans="7:14" s="17" customFormat="1" x14ac:dyDescent="0.25">
      <c r="G54" s="254" t="s">
        <v>561</v>
      </c>
      <c r="H54" s="255">
        <v>-36763</v>
      </c>
      <c r="I54" s="255">
        <v>560</v>
      </c>
      <c r="J54" s="255">
        <v>-7385</v>
      </c>
      <c r="K54" s="255">
        <v>0</v>
      </c>
      <c r="L54" s="255">
        <v>72028</v>
      </c>
      <c r="M54" s="256">
        <f>SUM(H54:L54)</f>
        <v>28440</v>
      </c>
      <c r="N54" s="257">
        <v>-74706</v>
      </c>
    </row>
    <row r="55" spans="7:14" s="17" customFormat="1" x14ac:dyDescent="0.25">
      <c r="G55" s="254" t="s">
        <v>562</v>
      </c>
      <c r="H55" s="255">
        <v>17435955</v>
      </c>
      <c r="I55" s="255">
        <v>24012</v>
      </c>
      <c r="J55" s="255">
        <v>-488444</v>
      </c>
      <c r="K55" s="255">
        <v>29105</v>
      </c>
      <c r="L55" s="255">
        <v>-516608</v>
      </c>
      <c r="M55" s="256">
        <f>SUM(H55:L55)</f>
        <v>16484020</v>
      </c>
      <c r="N55" s="257">
        <v>550005</v>
      </c>
    </row>
    <row r="56" spans="7:14" s="17" customFormat="1" x14ac:dyDescent="0.25">
      <c r="G56" s="254" t="s">
        <v>1234</v>
      </c>
      <c r="H56" s="255">
        <v>258313</v>
      </c>
      <c r="I56" s="255">
        <v>0</v>
      </c>
      <c r="J56" s="255">
        <v>0</v>
      </c>
      <c r="K56" s="255">
        <v>0</v>
      </c>
      <c r="L56" s="255">
        <v>80349</v>
      </c>
      <c r="M56" s="256">
        <f>SUM(H56:L56)</f>
        <v>338662</v>
      </c>
      <c r="N56" s="257">
        <v>310469</v>
      </c>
    </row>
    <row r="57" spans="7:14" s="17" customFormat="1" x14ac:dyDescent="0.25">
      <c r="G57" s="254" t="s">
        <v>563</v>
      </c>
      <c r="H57" s="255">
        <v>2876925</v>
      </c>
      <c r="I57" s="255">
        <v>834143</v>
      </c>
      <c r="J57" s="255">
        <v>1634490</v>
      </c>
      <c r="K57" s="255">
        <v>0</v>
      </c>
      <c r="L57" s="255">
        <v>537295</v>
      </c>
      <c r="M57" s="256">
        <f>SUM(H57:L57)</f>
        <v>5882853</v>
      </c>
      <c r="N57" s="257">
        <v>5984413</v>
      </c>
    </row>
    <row r="58" spans="7:14" ht="20.100000000000001" customHeight="1" x14ac:dyDescent="0.25">
      <c r="G58" s="169" t="s">
        <v>319</v>
      </c>
      <c r="H58" s="139">
        <f>SUM(H53:H57)</f>
        <v>17076099</v>
      </c>
      <c r="I58" s="139">
        <f t="shared" ref="I58:N58" si="8">SUM(I53:I57)</f>
        <v>614364</v>
      </c>
      <c r="J58" s="139">
        <f t="shared" si="8"/>
        <v>791045</v>
      </c>
      <c r="K58" s="139">
        <f t="shared" si="8"/>
        <v>-59338</v>
      </c>
      <c r="L58" s="139">
        <f t="shared" si="8"/>
        <v>256076</v>
      </c>
      <c r="M58" s="139">
        <f t="shared" si="8"/>
        <v>18678246</v>
      </c>
      <c r="N58" s="139">
        <f t="shared" si="8"/>
        <v>6987531</v>
      </c>
    </row>
    <row r="59" spans="7:14" ht="30" x14ac:dyDescent="0.25">
      <c r="G59" s="169" t="s">
        <v>318</v>
      </c>
      <c r="H59" s="139">
        <f>+H49+H50+H51+H58</f>
        <v>35408520.459999993</v>
      </c>
      <c r="I59" s="139">
        <f t="shared" ref="I59:N59" si="9">+I49+I50+I51+I58</f>
        <v>4383718</v>
      </c>
      <c r="J59" s="139">
        <f t="shared" si="9"/>
        <v>2630021</v>
      </c>
      <c r="K59" s="139">
        <f t="shared" si="9"/>
        <v>3520972</v>
      </c>
      <c r="L59" s="139">
        <f t="shared" si="9"/>
        <v>4516160</v>
      </c>
      <c r="M59" s="139">
        <f t="shared" si="9"/>
        <v>50459391.459999993</v>
      </c>
      <c r="N59" s="139">
        <f t="shared" si="9"/>
        <v>13522892</v>
      </c>
    </row>
    <row r="60" spans="7:14" ht="20.100000000000001" customHeight="1" x14ac:dyDescent="0.25">
      <c r="G60" s="169" t="s">
        <v>317</v>
      </c>
      <c r="H60" s="139">
        <f>+H47+H59</f>
        <v>57022579.459999993</v>
      </c>
      <c r="I60" s="139">
        <v>2961727</v>
      </c>
      <c r="J60" s="139">
        <v>6419174</v>
      </c>
      <c r="K60" s="139">
        <v>-1580721</v>
      </c>
      <c r="L60" s="139">
        <v>-4348113</v>
      </c>
      <c r="M60" s="139">
        <v>42290611</v>
      </c>
      <c r="N60" s="139">
        <v>12564680</v>
      </c>
    </row>
    <row r="61" spans="7:14" x14ac:dyDescent="0.25"/>
    <row r="62" spans="7:14" hidden="1" x14ac:dyDescent="0.25"/>
    <row r="63" spans="7:14" hidden="1" x14ac:dyDescent="0.25"/>
    <row r="64" spans="7:14" hidden="1" x14ac:dyDescent="0.25">
      <c r="G64"/>
      <c r="H64"/>
      <c r="I64"/>
      <c r="J64"/>
      <c r="K64"/>
      <c r="L64"/>
      <c r="M64"/>
      <c r="N64"/>
    </row>
    <row r="65" spans="7:14" hidden="1" x14ac:dyDescent="0.25">
      <c r="G65"/>
      <c r="H65"/>
      <c r="I65"/>
      <c r="J65"/>
      <c r="K65"/>
      <c r="L65"/>
      <c r="M65"/>
      <c r="N65"/>
    </row>
    <row r="66" spans="7:14" hidden="1" x14ac:dyDescent="0.25">
      <c r="G66"/>
      <c r="H66"/>
      <c r="I66"/>
      <c r="J66"/>
      <c r="K66"/>
      <c r="L66"/>
      <c r="M66"/>
      <c r="N66"/>
    </row>
    <row r="67" spans="7:14" hidden="1" x14ac:dyDescent="0.25">
      <c r="G67"/>
      <c r="H67"/>
      <c r="I67"/>
      <c r="J67"/>
      <c r="K67"/>
      <c r="L67"/>
      <c r="M67"/>
      <c r="N67"/>
    </row>
    <row r="68" spans="7:14" hidden="1" x14ac:dyDescent="0.25">
      <c r="G68"/>
      <c r="H68"/>
      <c r="I68"/>
      <c r="J68"/>
      <c r="K68"/>
      <c r="L68"/>
      <c r="M68"/>
      <c r="N68"/>
    </row>
    <row r="69" spans="7:14" hidden="1" x14ac:dyDescent="0.25">
      <c r="G69"/>
      <c r="H69"/>
      <c r="I69"/>
      <c r="J69"/>
      <c r="K69"/>
      <c r="L69"/>
      <c r="M69"/>
      <c r="N69"/>
    </row>
    <row r="70" spans="7:14" hidden="1" x14ac:dyDescent="0.25">
      <c r="G70"/>
      <c r="H70"/>
      <c r="I70"/>
      <c r="J70"/>
      <c r="K70"/>
      <c r="L70"/>
      <c r="M70"/>
      <c r="N70"/>
    </row>
    <row r="71" spans="7:14" hidden="1" x14ac:dyDescent="0.25">
      <c r="G71"/>
      <c r="H71"/>
      <c r="I71"/>
      <c r="J71"/>
      <c r="K71"/>
      <c r="L71"/>
      <c r="M71"/>
      <c r="N71"/>
    </row>
    <row r="72" spans="7:14" hidden="1" x14ac:dyDescent="0.25">
      <c r="G72"/>
      <c r="H72"/>
      <c r="I72"/>
      <c r="J72"/>
      <c r="K72"/>
      <c r="L72"/>
      <c r="M72"/>
      <c r="N72"/>
    </row>
    <row r="73" spans="7:14" hidden="1" x14ac:dyDescent="0.25">
      <c r="G73"/>
      <c r="H73"/>
      <c r="I73"/>
      <c r="J73"/>
      <c r="K73"/>
      <c r="L73"/>
      <c r="M73"/>
      <c r="N73"/>
    </row>
    <row r="74" spans="7:14" hidden="1" x14ac:dyDescent="0.25">
      <c r="G74"/>
      <c r="H74"/>
      <c r="I74"/>
      <c r="J74"/>
      <c r="K74"/>
      <c r="L74"/>
      <c r="M74"/>
      <c r="N74"/>
    </row>
    <row r="75" spans="7:14" hidden="1" x14ac:dyDescent="0.25">
      <c r="G75"/>
      <c r="H75"/>
      <c r="I75"/>
      <c r="J75"/>
      <c r="K75"/>
      <c r="L75"/>
      <c r="M75"/>
      <c r="N75"/>
    </row>
    <row r="76" spans="7:14" hidden="1" x14ac:dyDescent="0.25">
      <c r="G76"/>
      <c r="H76"/>
      <c r="I76"/>
      <c r="J76"/>
      <c r="K76"/>
      <c r="L76"/>
      <c r="M76"/>
      <c r="N76"/>
    </row>
    <row r="77" spans="7:14" hidden="1" x14ac:dyDescent="0.25">
      <c r="G77"/>
      <c r="H77"/>
      <c r="I77"/>
      <c r="J77"/>
      <c r="K77"/>
      <c r="L77"/>
      <c r="M77"/>
      <c r="N77"/>
    </row>
    <row r="78" spans="7:14" hidden="1" x14ac:dyDescent="0.25">
      <c r="G78"/>
      <c r="H78"/>
      <c r="I78"/>
      <c r="J78"/>
      <c r="K78"/>
      <c r="L78"/>
      <c r="M78"/>
      <c r="N78"/>
    </row>
    <row r="79" spans="7:14" hidden="1" x14ac:dyDescent="0.25">
      <c r="G79"/>
      <c r="H79"/>
      <c r="I79"/>
      <c r="J79"/>
      <c r="K79"/>
      <c r="L79"/>
      <c r="M79"/>
      <c r="N79"/>
    </row>
    <row r="80" spans="7:14" hidden="1" x14ac:dyDescent="0.25">
      <c r="G80"/>
      <c r="H80"/>
      <c r="I80"/>
      <c r="J80"/>
      <c r="K80"/>
      <c r="L80"/>
      <c r="M80"/>
      <c r="N80"/>
    </row>
    <row r="81" spans="7:14" hidden="1" x14ac:dyDescent="0.25">
      <c r="G81"/>
      <c r="H81"/>
      <c r="I81"/>
      <c r="J81"/>
      <c r="K81"/>
      <c r="L81"/>
      <c r="M81"/>
      <c r="N81"/>
    </row>
    <row r="82" spans="7:14" hidden="1" x14ac:dyDescent="0.25">
      <c r="G82"/>
      <c r="H82"/>
      <c r="I82"/>
      <c r="J82"/>
      <c r="K82"/>
      <c r="L82"/>
      <c r="M82"/>
      <c r="N82"/>
    </row>
    <row r="83" spans="7:14" hidden="1" x14ac:dyDescent="0.25">
      <c r="G83"/>
      <c r="H83"/>
      <c r="I83"/>
      <c r="J83"/>
      <c r="K83"/>
      <c r="L83"/>
      <c r="M83"/>
      <c r="N83"/>
    </row>
    <row r="84" spans="7:14" hidden="1" x14ac:dyDescent="0.25">
      <c r="G84"/>
      <c r="H84"/>
      <c r="I84"/>
      <c r="J84"/>
      <c r="K84"/>
      <c r="L84"/>
      <c r="M84"/>
      <c r="N84"/>
    </row>
    <row r="85" spans="7:14" hidden="1" x14ac:dyDescent="0.25">
      <c r="G85"/>
      <c r="H85"/>
      <c r="I85"/>
      <c r="J85"/>
      <c r="K85"/>
      <c r="L85"/>
      <c r="M85"/>
      <c r="N85"/>
    </row>
    <row r="86" spans="7:14" hidden="1" x14ac:dyDescent="0.25">
      <c r="G86"/>
      <c r="H86"/>
      <c r="I86"/>
      <c r="J86"/>
      <c r="K86"/>
      <c r="L86"/>
      <c r="M86"/>
      <c r="N86"/>
    </row>
    <row r="87" spans="7:14" hidden="1" x14ac:dyDescent="0.25">
      <c r="G87"/>
      <c r="H87"/>
      <c r="I87"/>
      <c r="J87"/>
      <c r="K87"/>
      <c r="L87"/>
      <c r="M87"/>
      <c r="N87"/>
    </row>
    <row r="88" spans="7:14" hidden="1" x14ac:dyDescent="0.25">
      <c r="G88"/>
      <c r="H88"/>
      <c r="I88"/>
      <c r="J88"/>
      <c r="K88"/>
      <c r="L88"/>
      <c r="M88"/>
      <c r="N88"/>
    </row>
    <row r="89" spans="7:14" hidden="1" x14ac:dyDescent="0.25">
      <c r="G89"/>
      <c r="H89"/>
      <c r="I89"/>
      <c r="J89"/>
      <c r="K89"/>
      <c r="L89"/>
      <c r="M89"/>
      <c r="N89"/>
    </row>
    <row r="90" spans="7:14" hidden="1" x14ac:dyDescent="0.25">
      <c r="G90"/>
      <c r="H90"/>
      <c r="I90"/>
      <c r="J90"/>
      <c r="K90"/>
      <c r="L90"/>
      <c r="M90"/>
      <c r="N90"/>
    </row>
    <row r="91" spans="7:14" hidden="1" x14ac:dyDescent="0.25">
      <c r="G91"/>
      <c r="H91"/>
      <c r="I91"/>
      <c r="J91"/>
      <c r="K91"/>
      <c r="L91"/>
      <c r="M91"/>
      <c r="N91"/>
    </row>
    <row r="92" spans="7:14" hidden="1" x14ac:dyDescent="0.25">
      <c r="G92"/>
      <c r="H92"/>
      <c r="I92"/>
      <c r="J92"/>
      <c r="K92"/>
      <c r="L92"/>
      <c r="M92"/>
      <c r="N92"/>
    </row>
    <row r="93" spans="7:14" hidden="1" x14ac:dyDescent="0.25">
      <c r="G93"/>
      <c r="H93"/>
      <c r="I93"/>
      <c r="J93"/>
      <c r="K93"/>
      <c r="L93"/>
      <c r="M93"/>
      <c r="N93"/>
    </row>
    <row r="94" spans="7:14" hidden="1" x14ac:dyDescent="0.25">
      <c r="G94"/>
      <c r="H94"/>
      <c r="I94"/>
      <c r="J94"/>
      <c r="K94"/>
      <c r="L94"/>
      <c r="M94"/>
      <c r="N94"/>
    </row>
    <row r="95" spans="7:14" hidden="1" x14ac:dyDescent="0.25">
      <c r="G95"/>
      <c r="H95"/>
      <c r="I95"/>
      <c r="J95"/>
      <c r="K95"/>
      <c r="L95"/>
      <c r="M95"/>
      <c r="N95"/>
    </row>
    <row r="96" spans="7:14" hidden="1" x14ac:dyDescent="0.25">
      <c r="G96"/>
      <c r="H96"/>
      <c r="I96"/>
      <c r="J96"/>
      <c r="K96"/>
      <c r="L96"/>
      <c r="M96"/>
      <c r="N96"/>
    </row>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t="15" hidden="1" customHeight="1" x14ac:dyDescent="0.25">
      <c r="G105"/>
      <c r="H105"/>
      <c r="I105"/>
      <c r="J105"/>
      <c r="K105"/>
      <c r="L105"/>
      <c r="M105"/>
      <c r="N105"/>
    </row>
    <row r="106" spans="7:14" ht="15" hidden="1" customHeight="1" x14ac:dyDescent="0.25">
      <c r="G106"/>
      <c r="H106"/>
      <c r="I106"/>
      <c r="J106"/>
      <c r="K106"/>
      <c r="L106"/>
      <c r="M106"/>
      <c r="N106"/>
    </row>
    <row r="107" spans="7:14" ht="15" hidden="1" customHeight="1" x14ac:dyDescent="0.25">
      <c r="G107"/>
      <c r="H107"/>
      <c r="I107"/>
      <c r="J107"/>
      <c r="K107"/>
      <c r="L107"/>
      <c r="M107"/>
      <c r="N107"/>
    </row>
    <row r="108" spans="7:14" ht="15" hidden="1" customHeight="1" x14ac:dyDescent="0.25">
      <c r="G108"/>
      <c r="H108"/>
      <c r="I108"/>
      <c r="J108"/>
      <c r="K108"/>
      <c r="L108"/>
      <c r="M108"/>
      <c r="N108"/>
    </row>
    <row r="109" spans="7:14" ht="15" hidden="1" customHeight="1" x14ac:dyDescent="0.25">
      <c r="G109"/>
      <c r="H109"/>
      <c r="I109"/>
      <c r="J109"/>
      <c r="K109"/>
      <c r="L109"/>
      <c r="M109"/>
      <c r="N109"/>
    </row>
    <row r="110" spans="7:14" ht="15" hidden="1" customHeight="1" x14ac:dyDescent="0.25">
      <c r="G110"/>
      <c r="H110"/>
      <c r="I110"/>
      <c r="J110"/>
      <c r="K110"/>
      <c r="L110"/>
      <c r="M110"/>
      <c r="N110"/>
    </row>
    <row r="111" spans="7:14" ht="15" hidden="1" customHeight="1" x14ac:dyDescent="0.25">
      <c r="G111"/>
      <c r="H111"/>
      <c r="I111"/>
      <c r="J111"/>
      <c r="K111"/>
      <c r="L111"/>
      <c r="M111"/>
      <c r="N111"/>
    </row>
    <row r="112" spans="7:14" ht="15" hidden="1" customHeight="1" x14ac:dyDescent="0.25">
      <c r="G112"/>
      <c r="H112"/>
      <c r="I112"/>
      <c r="J112"/>
      <c r="K112"/>
      <c r="L112"/>
      <c r="M112"/>
      <c r="N112"/>
    </row>
    <row r="113" spans="7:14" ht="15" hidden="1" customHeight="1" x14ac:dyDescent="0.25">
      <c r="G113"/>
      <c r="H113"/>
      <c r="I113"/>
      <c r="J113"/>
      <c r="K113"/>
      <c r="L113"/>
      <c r="M113"/>
      <c r="N113"/>
    </row>
    <row r="114" spans="7:14" ht="15" hidden="1" customHeight="1" x14ac:dyDescent="0.25">
      <c r="G114"/>
      <c r="H114"/>
      <c r="I114"/>
      <c r="J114"/>
      <c r="K114"/>
      <c r="L114"/>
      <c r="M114"/>
      <c r="N114"/>
    </row>
    <row r="115" spans="7:14" ht="15" hidden="1" customHeight="1" x14ac:dyDescent="0.25">
      <c r="G115"/>
      <c r="H115"/>
      <c r="I115"/>
      <c r="J115"/>
      <c r="K115"/>
      <c r="L115"/>
      <c r="M115"/>
      <c r="N115"/>
    </row>
    <row r="116" spans="7:14" ht="15" hidden="1" customHeight="1" x14ac:dyDescent="0.25">
      <c r="G116"/>
      <c r="H116"/>
      <c r="I116"/>
      <c r="J116"/>
      <c r="K116"/>
      <c r="L116"/>
      <c r="M116"/>
      <c r="N116"/>
    </row>
    <row r="117" spans="7:14" ht="15" hidden="1" customHeight="1" x14ac:dyDescent="0.25">
      <c r="G117"/>
      <c r="H117"/>
      <c r="I117"/>
      <c r="J117"/>
      <c r="K117"/>
      <c r="L117"/>
      <c r="M117"/>
      <c r="N117"/>
    </row>
    <row r="118" spans="7:14" ht="15" hidden="1" customHeight="1" x14ac:dyDescent="0.25">
      <c r="G118"/>
      <c r="H118"/>
      <c r="I118"/>
      <c r="J118"/>
      <c r="K118"/>
      <c r="L118"/>
      <c r="M118"/>
      <c r="N118"/>
    </row>
    <row r="119" spans="7:14" ht="15" hidden="1" customHeight="1" x14ac:dyDescent="0.25">
      <c r="G119"/>
      <c r="H119"/>
      <c r="I119"/>
      <c r="J119"/>
      <c r="K119"/>
      <c r="L119"/>
      <c r="M119"/>
      <c r="N119"/>
    </row>
    <row r="120" spans="7:14" ht="15" hidden="1" customHeight="1" x14ac:dyDescent="0.25">
      <c r="G120"/>
      <c r="H120"/>
      <c r="I120"/>
      <c r="J120"/>
      <c r="K120"/>
      <c r="L120"/>
      <c r="M120"/>
      <c r="N120"/>
    </row>
    <row r="121" spans="7:14" ht="15" hidden="1" customHeight="1" x14ac:dyDescent="0.25">
      <c r="G121"/>
      <c r="H121"/>
      <c r="I121"/>
      <c r="J121"/>
      <c r="K121"/>
      <c r="L121"/>
      <c r="M121"/>
      <c r="N121"/>
    </row>
    <row r="122" spans="7:14" ht="15" hidden="1" customHeight="1" x14ac:dyDescent="0.25">
      <c r="G122"/>
      <c r="H122"/>
      <c r="I122"/>
      <c r="J122"/>
      <c r="K122"/>
      <c r="L122"/>
      <c r="M122"/>
      <c r="N122"/>
    </row>
    <row r="123" spans="7:14" ht="15" hidden="1" customHeight="1" x14ac:dyDescent="0.25">
      <c r="G123"/>
      <c r="H123"/>
      <c r="I123"/>
      <c r="J123"/>
      <c r="K123"/>
      <c r="L123"/>
      <c r="M123"/>
      <c r="N123"/>
    </row>
    <row r="124" spans="7:14" ht="15" hidden="1" customHeight="1" x14ac:dyDescent="0.25"/>
  </sheetData>
  <sheetProtection algorithmName="SHA-512" hashValue="fvsgOWjLf7gCvWI35cTtAqHhKQ5UO+3aEojW/j9KOY+O+lM22LjmpIii/gcGUFE1rRQiIdODAyY/8zVQTpPQ6w==" saltValue="SdpDsIHU3kkCP+SBc+aXXA==" spinCount="100000" sheet="1" objects="1" scenarios="1"/>
  <mergeCells count="11">
    <mergeCell ref="H52:N52"/>
    <mergeCell ref="G11:G12"/>
    <mergeCell ref="G10:M10"/>
    <mergeCell ref="H11:M11"/>
    <mergeCell ref="H13:N13"/>
    <mergeCell ref="N11:N12"/>
    <mergeCell ref="H19:N19"/>
    <mergeCell ref="H25:N25"/>
    <mergeCell ref="H38:N38"/>
    <mergeCell ref="G46:N46"/>
    <mergeCell ref="H48:N48"/>
  </mergeCells>
  <dataValidations count="1">
    <dataValidation type="whole" allowBlank="1" showInputMessage="1" showErrorMessage="1" sqref="H45:N57 H61:N1048576 H1:N9" xr:uid="{00000000-0002-0000-0C00-000000000000}">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dimension ref="A1:AA87"/>
  <sheetViews>
    <sheetView showGridLines="0" topLeftCell="N2" zoomScaleNormal="100" workbookViewId="0">
      <selection activeCell="P3" sqref="P3"/>
    </sheetView>
  </sheetViews>
  <sheetFormatPr defaultColWidth="0" defaultRowHeight="0" customHeight="1" zeroHeight="1" x14ac:dyDescent="0.25"/>
  <cols>
    <col min="1" max="2" width="2.7109375" hidden="1" customWidth="1"/>
    <col min="3" max="4" width="2.7109375" style="373" hidden="1" customWidth="1"/>
    <col min="5" max="5" width="9.140625" hidden="1" customWidth="1"/>
    <col min="6" max="6" width="59.140625" hidden="1" customWidth="1"/>
    <col min="7" max="7" width="28.85546875" hidden="1" customWidth="1"/>
    <col min="8" max="13" width="8.7109375" hidden="1" customWidth="1"/>
    <col min="14" max="14" width="2.7109375" customWidth="1"/>
    <col min="15" max="15" width="10.5703125" customWidth="1"/>
    <col min="16" max="16" width="45.42578125" customWidth="1"/>
    <col min="17" max="18" width="2.7109375" style="201" customWidth="1"/>
    <col min="19" max="19" width="42" customWidth="1"/>
    <col min="20" max="20" width="13.85546875" bestFit="1" customWidth="1"/>
    <col min="21" max="21" width="9.85546875" bestFit="1" customWidth="1"/>
    <col min="22" max="22" width="13" bestFit="1" customWidth="1"/>
    <col min="23" max="23" width="11.140625" bestFit="1" customWidth="1"/>
    <col min="24" max="24" width="18.140625" bestFit="1" customWidth="1"/>
    <col min="25" max="25" width="18.140625" customWidth="1"/>
    <col min="26" max="26" width="12" customWidth="1"/>
    <col min="27" max="27" width="2.7109375" customWidth="1"/>
    <col min="28" max="16384" width="5.7109375" hidden="1"/>
  </cols>
  <sheetData>
    <row r="1" spans="1:26" ht="15" hidden="1" x14ac:dyDescent="0.25">
      <c r="C1"/>
      <c r="D1"/>
      <c r="F1">
        <v>2</v>
      </c>
    </row>
    <row r="2" spans="1:26" ht="15.75" thickBot="1" x14ac:dyDescent="0.3">
      <c r="C2"/>
      <c r="D2"/>
    </row>
    <row r="3" spans="1:26" ht="40.5" customHeight="1" thickBot="1" x14ac:dyDescent="0.3">
      <c r="C3"/>
      <c r="D3"/>
      <c r="O3" s="643" t="s">
        <v>434</v>
      </c>
      <c r="P3" s="656" t="s">
        <v>1931</v>
      </c>
    </row>
    <row r="4" spans="1:26" ht="15" x14ac:dyDescent="0.25">
      <c r="C4"/>
      <c r="D4"/>
    </row>
    <row r="5" spans="1:26" ht="36.950000000000003" customHeight="1" x14ac:dyDescent="0.25">
      <c r="C5"/>
      <c r="D5"/>
      <c r="J5" t="s">
        <v>1902</v>
      </c>
    </row>
    <row r="6" spans="1:26" ht="15" x14ac:dyDescent="0.25">
      <c r="C6"/>
      <c r="D6"/>
      <c r="S6" s="183" t="s">
        <v>432</v>
      </c>
    </row>
    <row r="7" spans="1:26" ht="15" x14ac:dyDescent="0.25">
      <c r="C7"/>
      <c r="D7"/>
      <c r="S7" s="182" t="s">
        <v>431</v>
      </c>
    </row>
    <row r="8" spans="1:26" ht="36.950000000000003" customHeight="1" x14ac:dyDescent="0.25">
      <c r="S8" s="650" t="s">
        <v>430</v>
      </c>
      <c r="T8" s="650" t="s">
        <v>429</v>
      </c>
      <c r="U8" s="650" t="s">
        <v>428</v>
      </c>
      <c r="V8" s="650" t="s">
        <v>427</v>
      </c>
      <c r="W8" s="650" t="s">
        <v>426</v>
      </c>
      <c r="X8" s="650" t="s">
        <v>425</v>
      </c>
      <c r="Y8" s="650" t="s">
        <v>424</v>
      </c>
      <c r="Z8" s="650" t="s">
        <v>1927</v>
      </c>
    </row>
    <row r="9" spans="1:26" ht="33" customHeight="1" x14ac:dyDescent="0.25">
      <c r="E9" s="663" t="s">
        <v>638</v>
      </c>
      <c r="F9" s="664"/>
      <c r="G9" s="665"/>
      <c r="S9" s="644" t="s">
        <v>1877</v>
      </c>
      <c r="T9" s="653" t="s">
        <v>416</v>
      </c>
      <c r="U9" s="653" t="s">
        <v>415</v>
      </c>
      <c r="V9" s="644" t="s">
        <v>1898</v>
      </c>
      <c r="W9" s="653">
        <v>0</v>
      </c>
      <c r="X9" s="653" t="s">
        <v>1904</v>
      </c>
      <c r="Y9" s="653" t="s">
        <v>1905</v>
      </c>
      <c r="Z9" s="653">
        <v>-2</v>
      </c>
    </row>
    <row r="10" spans="1:26" ht="38.1" customHeight="1" x14ac:dyDescent="0.25">
      <c r="A10" s="332"/>
      <c r="B10" s="332"/>
      <c r="C10" s="398"/>
      <c r="D10" s="398"/>
      <c r="E10" s="194" t="s">
        <v>639</v>
      </c>
      <c r="F10" s="330" t="s">
        <v>1</v>
      </c>
      <c r="G10" s="331"/>
      <c r="S10" s="648" t="s">
        <v>1864</v>
      </c>
      <c r="T10" s="654" t="s">
        <v>416</v>
      </c>
      <c r="U10" s="654" t="s">
        <v>415</v>
      </c>
      <c r="V10" s="645" t="s">
        <v>1898</v>
      </c>
      <c r="W10" s="654">
        <v>0</v>
      </c>
      <c r="X10" s="653" t="s">
        <v>1904</v>
      </c>
      <c r="Y10" s="653" t="s">
        <v>1906</v>
      </c>
      <c r="Z10" s="653"/>
    </row>
    <row r="11" spans="1:26" ht="36" customHeight="1" x14ac:dyDescent="0.25">
      <c r="E11" s="108">
        <v>1</v>
      </c>
      <c r="F11" s="333" t="s">
        <v>640</v>
      </c>
      <c r="G11" s="334" t="s">
        <v>912</v>
      </c>
      <c r="S11" s="649" t="s">
        <v>1863</v>
      </c>
      <c r="T11" s="653" t="s">
        <v>416</v>
      </c>
      <c r="U11" s="653" t="s">
        <v>415</v>
      </c>
      <c r="V11" s="644" t="s">
        <v>1898</v>
      </c>
      <c r="W11" s="653">
        <v>0</v>
      </c>
      <c r="X11" s="653" t="s">
        <v>1904</v>
      </c>
      <c r="Y11" s="653" t="s">
        <v>1907</v>
      </c>
      <c r="Z11" s="653"/>
    </row>
    <row r="12" spans="1:26" ht="20.100000000000001" customHeight="1" x14ac:dyDescent="0.25">
      <c r="E12" s="335">
        <v>2</v>
      </c>
      <c r="F12" s="336" t="s">
        <v>641</v>
      </c>
      <c r="G12" s="337">
        <v>226</v>
      </c>
      <c r="S12" s="645" t="s">
        <v>1862</v>
      </c>
      <c r="T12" s="654" t="s">
        <v>416</v>
      </c>
      <c r="U12" s="654" t="s">
        <v>415</v>
      </c>
      <c r="V12" s="645" t="s">
        <v>1898</v>
      </c>
      <c r="W12" s="654">
        <v>0</v>
      </c>
      <c r="X12" s="653" t="s">
        <v>1904</v>
      </c>
      <c r="Y12" s="653" t="s">
        <v>1908</v>
      </c>
      <c r="Z12" s="653"/>
    </row>
    <row r="13" spans="1:26" ht="31.5" customHeight="1" x14ac:dyDescent="0.25">
      <c r="E13" s="335">
        <v>3</v>
      </c>
      <c r="F13" s="336" t="s">
        <v>642</v>
      </c>
      <c r="G13" s="337">
        <v>176</v>
      </c>
      <c r="S13" s="644" t="s">
        <v>1867</v>
      </c>
      <c r="T13" s="653" t="s">
        <v>416</v>
      </c>
      <c r="U13" s="653" t="s">
        <v>415</v>
      </c>
      <c r="V13" s="644" t="s">
        <v>1898</v>
      </c>
      <c r="W13" s="653">
        <v>0</v>
      </c>
      <c r="X13" s="653" t="s">
        <v>1904</v>
      </c>
      <c r="Y13" s="653" t="s">
        <v>1909</v>
      </c>
      <c r="Z13" s="653"/>
    </row>
    <row r="14" spans="1:26" ht="33" customHeight="1" x14ac:dyDescent="0.25">
      <c r="E14" s="335">
        <v>4</v>
      </c>
      <c r="F14" s="336" t="s">
        <v>643</v>
      </c>
      <c r="G14" s="337">
        <v>14</v>
      </c>
      <c r="S14" s="645" t="s">
        <v>1872</v>
      </c>
      <c r="T14" s="645" t="s">
        <v>1899</v>
      </c>
      <c r="U14" s="654" t="s">
        <v>415</v>
      </c>
      <c r="V14" s="645" t="s">
        <v>1898</v>
      </c>
      <c r="W14" s="654">
        <v>0</v>
      </c>
      <c r="X14" s="653" t="s">
        <v>1904</v>
      </c>
      <c r="Y14" s="653" t="s">
        <v>1910</v>
      </c>
      <c r="Z14" s="653"/>
    </row>
    <row r="15" spans="1:26" ht="33" customHeight="1" x14ac:dyDescent="0.25">
      <c r="E15" s="335">
        <v>5</v>
      </c>
      <c r="F15" s="336" t="s">
        <v>644</v>
      </c>
      <c r="G15" s="337" t="s">
        <v>914</v>
      </c>
      <c r="S15" s="644" t="s">
        <v>1873</v>
      </c>
      <c r="T15" s="644" t="s">
        <v>1899</v>
      </c>
      <c r="U15" s="653" t="s">
        <v>415</v>
      </c>
      <c r="V15" s="644" t="s">
        <v>1898</v>
      </c>
      <c r="W15" s="653">
        <v>0</v>
      </c>
      <c r="X15" s="653" t="s">
        <v>1904</v>
      </c>
      <c r="Y15" s="653" t="s">
        <v>1911</v>
      </c>
      <c r="Z15" s="653"/>
    </row>
    <row r="16" spans="1:26" ht="20.100000000000001" customHeight="1" x14ac:dyDescent="0.25">
      <c r="E16" s="335">
        <v>6</v>
      </c>
      <c r="F16" s="336" t="s">
        <v>645</v>
      </c>
      <c r="G16" s="337" t="s">
        <v>913</v>
      </c>
      <c r="S16" s="645" t="s">
        <v>1878</v>
      </c>
      <c r="T16" s="645" t="s">
        <v>416</v>
      </c>
      <c r="U16" s="654" t="s">
        <v>415</v>
      </c>
      <c r="V16" s="645" t="s">
        <v>1898</v>
      </c>
      <c r="W16" s="654">
        <v>0</v>
      </c>
      <c r="X16" s="653" t="s">
        <v>1904</v>
      </c>
      <c r="Y16" s="653" t="s">
        <v>1912</v>
      </c>
      <c r="Z16" s="653">
        <v>-2</v>
      </c>
    </row>
    <row r="17" spans="5:26" ht="20.100000000000001" customHeight="1" x14ac:dyDescent="0.25">
      <c r="E17" s="335">
        <v>7</v>
      </c>
      <c r="F17" s="336" t="s">
        <v>646</v>
      </c>
      <c r="G17" s="337" t="s">
        <v>915</v>
      </c>
      <c r="S17" s="644" t="s">
        <v>1874</v>
      </c>
      <c r="T17" s="653" t="s">
        <v>1899</v>
      </c>
      <c r="U17" s="653" t="s">
        <v>415</v>
      </c>
      <c r="V17" s="644" t="s">
        <v>1898</v>
      </c>
      <c r="W17" s="653">
        <v>0</v>
      </c>
      <c r="X17" s="653" t="s">
        <v>1904</v>
      </c>
      <c r="Y17" s="653" t="s">
        <v>1913</v>
      </c>
      <c r="Z17" s="653"/>
    </row>
    <row r="18" spans="5:26" ht="20.100000000000001" customHeight="1" x14ac:dyDescent="0.25">
      <c r="E18" s="335">
        <v>8</v>
      </c>
      <c r="F18" s="336" t="s">
        <v>647</v>
      </c>
      <c r="G18" s="338">
        <v>5025000</v>
      </c>
      <c r="S18" s="645" t="s">
        <v>1885</v>
      </c>
      <c r="T18" s="654" t="s">
        <v>416</v>
      </c>
      <c r="U18" s="654" t="s">
        <v>415</v>
      </c>
      <c r="V18" s="645" t="s">
        <v>1898</v>
      </c>
      <c r="W18" s="654">
        <v>0</v>
      </c>
      <c r="X18" s="653" t="s">
        <v>1904</v>
      </c>
      <c r="Y18" s="653" t="s">
        <v>1914</v>
      </c>
      <c r="Z18" s="653"/>
    </row>
    <row r="19" spans="5:26" ht="20.100000000000001" customHeight="1" x14ac:dyDescent="0.25">
      <c r="E19" s="335">
        <v>9</v>
      </c>
      <c r="F19" s="336" t="s">
        <v>648</v>
      </c>
      <c r="G19" s="338">
        <v>0</v>
      </c>
      <c r="S19" s="644" t="s">
        <v>1884</v>
      </c>
      <c r="T19" s="653" t="s">
        <v>416</v>
      </c>
      <c r="U19" s="653" t="s">
        <v>415</v>
      </c>
      <c r="V19" s="644" t="s">
        <v>1898</v>
      </c>
      <c r="W19" s="653">
        <v>0</v>
      </c>
      <c r="X19" s="653" t="s">
        <v>1904</v>
      </c>
      <c r="Y19" s="653" t="s">
        <v>1915</v>
      </c>
      <c r="Z19" s="653"/>
    </row>
    <row r="20" spans="5:26" ht="20.100000000000001" customHeight="1" x14ac:dyDescent="0.25">
      <c r="E20" s="335">
        <v>10</v>
      </c>
      <c r="F20" s="336" t="s">
        <v>649</v>
      </c>
      <c r="G20" s="337" t="s">
        <v>916</v>
      </c>
      <c r="S20" s="645" t="s">
        <v>423</v>
      </c>
      <c r="T20" s="645" t="s">
        <v>416</v>
      </c>
      <c r="U20" s="645" t="s">
        <v>415</v>
      </c>
      <c r="V20" s="645" t="s">
        <v>1898</v>
      </c>
      <c r="W20" s="645">
        <v>0</v>
      </c>
      <c r="X20" s="653" t="s">
        <v>1904</v>
      </c>
      <c r="Y20" s="653" t="s">
        <v>1916</v>
      </c>
      <c r="Z20" s="653"/>
    </row>
    <row r="21" spans="5:26" ht="20.100000000000001" customHeight="1" x14ac:dyDescent="0.25">
      <c r="E21" s="335">
        <v>11</v>
      </c>
      <c r="F21" s="336" t="s">
        <v>650</v>
      </c>
      <c r="G21" s="337" t="s">
        <v>917</v>
      </c>
      <c r="S21" s="644" t="s">
        <v>1890</v>
      </c>
      <c r="T21" s="644" t="s">
        <v>1899</v>
      </c>
      <c r="U21" s="653" t="s">
        <v>415</v>
      </c>
      <c r="V21" s="644" t="s">
        <v>1898</v>
      </c>
      <c r="W21" s="653">
        <v>0</v>
      </c>
      <c r="X21" s="653" t="s">
        <v>1904</v>
      </c>
      <c r="Y21" s="653" t="s">
        <v>1917</v>
      </c>
      <c r="Z21" s="653"/>
    </row>
    <row r="22" spans="5:26" ht="20.100000000000001" customHeight="1" x14ac:dyDescent="0.25">
      <c r="E22" s="335">
        <v>12</v>
      </c>
      <c r="F22" s="336" t="s">
        <v>651</v>
      </c>
      <c r="G22" s="337" t="s">
        <v>918</v>
      </c>
      <c r="S22" s="645" t="s">
        <v>422</v>
      </c>
      <c r="T22" s="645" t="s">
        <v>416</v>
      </c>
      <c r="U22" s="645" t="s">
        <v>415</v>
      </c>
      <c r="V22" s="645" t="s">
        <v>1898</v>
      </c>
      <c r="W22" s="645">
        <v>0</v>
      </c>
      <c r="X22" s="653" t="s">
        <v>1904</v>
      </c>
      <c r="Y22" s="653" t="s">
        <v>1918</v>
      </c>
      <c r="Z22" s="653"/>
    </row>
    <row r="23" spans="5:26" ht="20.100000000000001" customHeight="1" x14ac:dyDescent="0.25">
      <c r="E23" s="335">
        <v>13</v>
      </c>
      <c r="F23" s="336" t="s">
        <v>652</v>
      </c>
      <c r="G23" s="337" t="s">
        <v>919</v>
      </c>
      <c r="S23" s="644" t="s">
        <v>421</v>
      </c>
      <c r="T23" s="644" t="s">
        <v>416</v>
      </c>
      <c r="U23" s="644" t="s">
        <v>415</v>
      </c>
      <c r="V23" s="644" t="s">
        <v>1898</v>
      </c>
      <c r="W23" s="644">
        <v>0</v>
      </c>
      <c r="X23" s="653" t="s">
        <v>1904</v>
      </c>
      <c r="Y23" s="653" t="s">
        <v>1919</v>
      </c>
      <c r="Z23" s="653"/>
    </row>
    <row r="24" spans="5:26" ht="33" customHeight="1" x14ac:dyDescent="0.25">
      <c r="E24" s="335">
        <v>14</v>
      </c>
      <c r="F24" s="336" t="s">
        <v>653</v>
      </c>
      <c r="G24" s="337" t="s">
        <v>920</v>
      </c>
      <c r="S24" s="645" t="s">
        <v>419</v>
      </c>
      <c r="T24" s="645" t="s">
        <v>416</v>
      </c>
      <c r="U24" s="645" t="s">
        <v>415</v>
      </c>
      <c r="V24" s="645" t="s">
        <v>1898</v>
      </c>
      <c r="W24" s="645">
        <v>0</v>
      </c>
      <c r="X24" s="653" t="s">
        <v>1904</v>
      </c>
      <c r="Y24" s="653" t="s">
        <v>1920</v>
      </c>
      <c r="Z24" s="653"/>
    </row>
    <row r="25" spans="5:26" ht="20.100000000000001" customHeight="1" x14ac:dyDescent="0.25">
      <c r="E25" s="335">
        <v>15</v>
      </c>
      <c r="F25" s="336" t="s">
        <v>654</v>
      </c>
      <c r="G25" s="337" t="s">
        <v>921</v>
      </c>
      <c r="S25" s="644" t="s">
        <v>418</v>
      </c>
      <c r="T25" s="644" t="s">
        <v>416</v>
      </c>
      <c r="U25" s="644" t="s">
        <v>415</v>
      </c>
      <c r="V25" s="644" t="s">
        <v>1898</v>
      </c>
      <c r="W25" s="644">
        <v>0</v>
      </c>
      <c r="X25" s="653" t="s">
        <v>1904</v>
      </c>
      <c r="Y25" s="653" t="s">
        <v>1921</v>
      </c>
      <c r="Z25" s="653"/>
    </row>
    <row r="26" spans="5:26" ht="20.100000000000001" customHeight="1" x14ac:dyDescent="0.25">
      <c r="E26" s="335">
        <v>16</v>
      </c>
      <c r="F26" s="336" t="s">
        <v>655</v>
      </c>
      <c r="G26" s="337" t="s">
        <v>922</v>
      </c>
      <c r="S26" s="645" t="s">
        <v>417</v>
      </c>
      <c r="T26" s="645" t="s">
        <v>416</v>
      </c>
      <c r="U26" s="645" t="s">
        <v>415</v>
      </c>
      <c r="V26" s="645" t="s">
        <v>1898</v>
      </c>
      <c r="W26" s="645">
        <v>0</v>
      </c>
      <c r="X26" s="653" t="s">
        <v>1904</v>
      </c>
      <c r="Y26" s="653" t="s">
        <v>1922</v>
      </c>
      <c r="Z26" s="653">
        <v>-2</v>
      </c>
    </row>
    <row r="27" spans="5:26" ht="20.100000000000001" customHeight="1" x14ac:dyDescent="0.25">
      <c r="E27" s="335">
        <v>17</v>
      </c>
      <c r="F27" s="336" t="s">
        <v>656</v>
      </c>
      <c r="G27" s="337" t="s">
        <v>923</v>
      </c>
      <c r="S27" s="653" t="s">
        <v>1893</v>
      </c>
      <c r="T27" s="653" t="s">
        <v>416</v>
      </c>
      <c r="U27" s="653" t="s">
        <v>415</v>
      </c>
      <c r="V27" s="644" t="s">
        <v>1898</v>
      </c>
      <c r="W27" s="653">
        <v>0</v>
      </c>
      <c r="X27" s="653" t="s">
        <v>1904</v>
      </c>
      <c r="Y27" s="653" t="s">
        <v>1923</v>
      </c>
      <c r="Z27" s="653">
        <v>-2</v>
      </c>
    </row>
    <row r="28" spans="5:26" ht="20.100000000000001" customHeight="1" x14ac:dyDescent="0.25">
      <c r="E28" s="335">
        <v>18</v>
      </c>
      <c r="F28" s="336" t="s">
        <v>657</v>
      </c>
      <c r="G28" s="337" t="s">
        <v>924</v>
      </c>
      <c r="S28" s="654" t="s">
        <v>1900</v>
      </c>
      <c r="T28" s="646" t="s">
        <v>1899</v>
      </c>
      <c r="U28" s="645" t="s">
        <v>415</v>
      </c>
      <c r="V28" s="645" t="s">
        <v>1898</v>
      </c>
      <c r="W28" s="654">
        <v>0</v>
      </c>
      <c r="X28" s="653" t="s">
        <v>1904</v>
      </c>
      <c r="Y28" s="653" t="s">
        <v>1924</v>
      </c>
      <c r="Z28" s="653"/>
    </row>
    <row r="29" spans="5:26" ht="20.100000000000001" customHeight="1" x14ac:dyDescent="0.25">
      <c r="E29" s="335">
        <v>19</v>
      </c>
      <c r="F29" s="336" t="s">
        <v>658</v>
      </c>
      <c r="G29" s="337" t="s">
        <v>925</v>
      </c>
      <c r="S29" s="653" t="s">
        <v>1901</v>
      </c>
      <c r="T29" s="647" t="s">
        <v>1899</v>
      </c>
      <c r="U29" s="644" t="s">
        <v>415</v>
      </c>
      <c r="V29" s="644" t="s">
        <v>1898</v>
      </c>
      <c r="W29" s="653">
        <v>0</v>
      </c>
      <c r="X29" s="653" t="s">
        <v>1904</v>
      </c>
      <c r="Y29" s="653" t="s">
        <v>1925</v>
      </c>
      <c r="Z29" s="653"/>
    </row>
    <row r="30" spans="5:26" ht="20.100000000000001" customHeight="1" x14ac:dyDescent="0.25">
      <c r="E30" s="335">
        <v>20</v>
      </c>
      <c r="F30" s="336" t="s">
        <v>659</v>
      </c>
      <c r="G30" s="338">
        <v>160834858</v>
      </c>
      <c r="S30" s="655" t="s">
        <v>1858</v>
      </c>
      <c r="T30" s="651" t="s">
        <v>416</v>
      </c>
      <c r="U30" s="652" t="s">
        <v>415</v>
      </c>
      <c r="V30" s="652" t="s">
        <v>1898</v>
      </c>
      <c r="W30" s="655">
        <v>0</v>
      </c>
      <c r="X30" s="653" t="s">
        <v>1904</v>
      </c>
      <c r="Y30" s="653" t="s">
        <v>1926</v>
      </c>
      <c r="Z30" s="653"/>
    </row>
    <row r="31" spans="5:26" ht="20.100000000000001" customHeight="1" x14ac:dyDescent="0.25">
      <c r="E31" s="335">
        <v>21</v>
      </c>
      <c r="F31" s="336" t="s">
        <v>660</v>
      </c>
      <c r="G31" s="338">
        <v>121233244</v>
      </c>
    </row>
    <row r="32" spans="5:26" ht="20.100000000000001" hidden="1" customHeight="1" x14ac:dyDescent="0.25">
      <c r="E32" s="335">
        <v>22</v>
      </c>
      <c r="F32" s="336" t="s">
        <v>661</v>
      </c>
      <c r="G32" s="338">
        <v>39601614</v>
      </c>
    </row>
    <row r="33" spans="5:7" ht="20.100000000000001" hidden="1" customHeight="1" x14ac:dyDescent="0.25">
      <c r="E33" s="335">
        <v>23</v>
      </c>
      <c r="F33" s="336" t="s">
        <v>662</v>
      </c>
      <c r="G33" s="337">
        <v>75.377468235150857</v>
      </c>
    </row>
    <row r="34" spans="5:7" ht="20.100000000000001" hidden="1" customHeight="1" x14ac:dyDescent="0.25">
      <c r="E34" s="335">
        <v>24</v>
      </c>
      <c r="F34" s="336" t="s">
        <v>663</v>
      </c>
      <c r="G34" s="338">
        <v>25290228</v>
      </c>
    </row>
    <row r="35" spans="5:7" ht="20.100000000000001" hidden="1" customHeight="1" x14ac:dyDescent="0.25">
      <c r="E35" s="335">
        <v>25</v>
      </c>
      <c r="F35" s="336" t="s">
        <v>664</v>
      </c>
      <c r="G35" s="338">
        <v>56726889</v>
      </c>
    </row>
    <row r="36" spans="5:7" ht="20.100000000000001" hidden="1" customHeight="1" x14ac:dyDescent="0.25">
      <c r="E36" s="335">
        <v>26</v>
      </c>
      <c r="F36" s="336" t="s">
        <v>665</v>
      </c>
      <c r="G36" s="338">
        <v>11559332</v>
      </c>
    </row>
    <row r="37" spans="5:7" ht="20.100000000000001" hidden="1" customHeight="1" x14ac:dyDescent="0.25">
      <c r="E37" s="103">
        <v>27</v>
      </c>
      <c r="F37" s="339" t="s">
        <v>666</v>
      </c>
      <c r="G37" s="340">
        <v>1635327</v>
      </c>
    </row>
    <row r="38" spans="5:7" ht="15" hidden="1" x14ac:dyDescent="0.25"/>
    <row r="39" spans="5:7" ht="15" hidden="1" x14ac:dyDescent="0.25"/>
    <row r="40" spans="5:7" ht="15" hidden="1" x14ac:dyDescent="0.25"/>
    <row r="41" spans="5:7" ht="15" hidden="1" x14ac:dyDescent="0.25"/>
    <row r="42" spans="5:7" ht="15" hidden="1" x14ac:dyDescent="0.25"/>
    <row r="43" spans="5:7" ht="15" hidden="1" x14ac:dyDescent="0.25"/>
    <row r="44" spans="5:7" ht="15" hidden="1" x14ac:dyDescent="0.25"/>
    <row r="45" spans="5:7" ht="15" hidden="1" x14ac:dyDescent="0.25"/>
    <row r="46" spans="5:7" ht="15" hidden="1" x14ac:dyDescent="0.25"/>
    <row r="47" spans="5:7" ht="15" hidden="1" x14ac:dyDescent="0.25"/>
    <row r="48" spans="5:7" ht="15" hidden="1" x14ac:dyDescent="0.25"/>
    <row r="49" spans="6:7" ht="15" hidden="1" x14ac:dyDescent="0.25"/>
    <row r="50" spans="6:7" ht="15" hidden="1" x14ac:dyDescent="0.25"/>
    <row r="51" spans="6:7" ht="15" hidden="1" x14ac:dyDescent="0.25"/>
    <row r="52" spans="6:7" ht="15" hidden="1" x14ac:dyDescent="0.25"/>
    <row r="53" spans="6:7" ht="15" hidden="1" x14ac:dyDescent="0.25"/>
    <row r="54" spans="6:7" ht="15" hidden="1" x14ac:dyDescent="0.25"/>
    <row r="55" spans="6:7" ht="15" hidden="1" x14ac:dyDescent="0.25"/>
    <row r="56" spans="6:7" ht="15" hidden="1" x14ac:dyDescent="0.25"/>
    <row r="57" spans="6:7" ht="15" hidden="1" x14ac:dyDescent="0.25"/>
    <row r="58" spans="6:7" ht="15" hidden="1" x14ac:dyDescent="0.25"/>
    <row r="59" spans="6:7" ht="15" hidden="1" x14ac:dyDescent="0.25"/>
    <row r="60" spans="6:7" ht="33" hidden="1" customHeight="1" x14ac:dyDescent="0.25">
      <c r="G60" s="341" t="s">
        <v>667</v>
      </c>
    </row>
    <row r="61" spans="6:7" ht="36" hidden="1" customHeight="1" x14ac:dyDescent="0.25">
      <c r="F61" t="s">
        <v>640</v>
      </c>
      <c r="G61" s="342"/>
    </row>
    <row r="62" spans="6:7" ht="15" hidden="1" x14ac:dyDescent="0.25">
      <c r="F62" t="s">
        <v>641</v>
      </c>
      <c r="G62" s="343"/>
    </row>
    <row r="63" spans="6:7" ht="15" hidden="1" x14ac:dyDescent="0.25">
      <c r="F63" t="s">
        <v>642</v>
      </c>
      <c r="G63" s="343"/>
    </row>
    <row r="64" spans="6:7" ht="15" hidden="1" x14ac:dyDescent="0.25">
      <c r="F64" t="s">
        <v>643</v>
      </c>
      <c r="G64" s="343"/>
    </row>
    <row r="65" spans="6:7" ht="15" hidden="1" x14ac:dyDescent="0.25">
      <c r="F65" t="s">
        <v>644</v>
      </c>
      <c r="G65" s="343"/>
    </row>
    <row r="66" spans="6:7" ht="15" hidden="1" x14ac:dyDescent="0.25">
      <c r="F66" t="s">
        <v>645</v>
      </c>
      <c r="G66" s="343"/>
    </row>
    <row r="67" spans="6:7" ht="15" hidden="1" x14ac:dyDescent="0.25">
      <c r="F67" t="s">
        <v>646</v>
      </c>
      <c r="G67" s="343"/>
    </row>
    <row r="68" spans="6:7" ht="15" hidden="1" x14ac:dyDescent="0.25">
      <c r="F68" t="s">
        <v>647</v>
      </c>
      <c r="G68" s="344"/>
    </row>
    <row r="69" spans="6:7" ht="15" hidden="1" x14ac:dyDescent="0.25">
      <c r="F69" t="s">
        <v>648</v>
      </c>
      <c r="G69" s="344"/>
    </row>
    <row r="70" spans="6:7" ht="15" hidden="1" x14ac:dyDescent="0.25">
      <c r="F70" t="s">
        <v>649</v>
      </c>
      <c r="G70" s="343"/>
    </row>
    <row r="71" spans="6:7" ht="15" hidden="1" x14ac:dyDescent="0.25">
      <c r="F71" t="s">
        <v>650</v>
      </c>
      <c r="G71" s="343"/>
    </row>
    <row r="72" spans="6:7" ht="15" hidden="1" x14ac:dyDescent="0.25">
      <c r="F72" t="s">
        <v>651</v>
      </c>
      <c r="G72" s="343"/>
    </row>
    <row r="73" spans="6:7" ht="15" hidden="1" x14ac:dyDescent="0.25">
      <c r="F73" t="s">
        <v>652</v>
      </c>
      <c r="G73" s="343"/>
    </row>
    <row r="74" spans="6:7" ht="15" hidden="1" x14ac:dyDescent="0.25">
      <c r="F74" t="s">
        <v>653</v>
      </c>
      <c r="G74" s="343"/>
    </row>
    <row r="75" spans="6:7" ht="15" hidden="1" x14ac:dyDescent="0.25">
      <c r="F75" t="s">
        <v>654</v>
      </c>
      <c r="G75" s="343"/>
    </row>
    <row r="76" spans="6:7" ht="15" hidden="1" x14ac:dyDescent="0.25">
      <c r="F76" t="s">
        <v>655</v>
      </c>
      <c r="G76" s="343"/>
    </row>
    <row r="77" spans="6:7" ht="15" hidden="1" x14ac:dyDescent="0.25">
      <c r="F77" t="s">
        <v>656</v>
      </c>
      <c r="G77" s="343"/>
    </row>
    <row r="78" spans="6:7" ht="15" hidden="1" x14ac:dyDescent="0.25">
      <c r="F78" t="s">
        <v>657</v>
      </c>
      <c r="G78" s="343"/>
    </row>
    <row r="79" spans="6:7" ht="15" hidden="1" x14ac:dyDescent="0.25">
      <c r="F79" t="s">
        <v>658</v>
      </c>
      <c r="G79" s="343"/>
    </row>
    <row r="80" spans="6:7" ht="15" hidden="1" x14ac:dyDescent="0.25">
      <c r="F80" t="s">
        <v>659</v>
      </c>
      <c r="G80" s="344"/>
    </row>
    <row r="81" spans="6:7" ht="15" hidden="1" x14ac:dyDescent="0.25">
      <c r="F81" t="s">
        <v>660</v>
      </c>
      <c r="G81" s="344"/>
    </row>
    <row r="82" spans="6:7" ht="15" hidden="1" x14ac:dyDescent="0.25">
      <c r="F82" t="s">
        <v>661</v>
      </c>
      <c r="G82" s="344"/>
    </row>
    <row r="83" spans="6:7" ht="15" hidden="1" x14ac:dyDescent="0.25">
      <c r="F83" t="s">
        <v>662</v>
      </c>
      <c r="G83" s="343"/>
    </row>
    <row r="84" spans="6:7" ht="15" hidden="1" x14ac:dyDescent="0.25">
      <c r="F84" t="s">
        <v>663</v>
      </c>
      <c r="G84" s="344"/>
    </row>
    <row r="85" spans="6:7" ht="15" hidden="1" x14ac:dyDescent="0.25">
      <c r="F85" t="s">
        <v>664</v>
      </c>
      <c r="G85" s="344"/>
    </row>
    <row r="86" spans="6:7" ht="15" hidden="1" x14ac:dyDescent="0.25">
      <c r="F86" t="s">
        <v>665</v>
      </c>
      <c r="G86" s="344"/>
    </row>
    <row r="87" spans="6:7" ht="15" hidden="1" customHeight="1" x14ac:dyDescent="0.25">
      <c r="F87" t="s">
        <v>666</v>
      </c>
      <c r="G87" s="345"/>
    </row>
  </sheetData>
  <sheetProtection algorithmName="SHA-512" hashValue="0Duzxd4UcacUse8u4eD+dKlWhy9GYTPSK3kbknvIJG0MW5s5KibUw8O7ttZVHg/r18Gdc7dXrvrmh5VKYFCPwA==" saltValue="9usDMRVbxpcMDuGEjIyh+w==" spinCount="100000" sheet="1" objects="1" scenarios="1"/>
  <mergeCells count="1">
    <mergeCell ref="E9:G9"/>
  </mergeCells>
  <dataValidations disablePrompts="1" count="1">
    <dataValidation allowBlank="1" showInputMessage="1" showErrorMessage="1" prompt="Please enter date in _x000a_mm-dd-yyyy format" sqref="G70 G20" xr:uid="{00000000-0002-0000-0D00-000000000000}"/>
  </dataValidations>
  <hyperlinks>
    <hyperlink ref="G60" location="'Footnotes 18-22'!F10" display="Delete Pension Plan" xr:uid="{00000000-0004-0000-0D00-000000000000}"/>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0070C0"/>
  </sheetPr>
  <dimension ref="B1:S12"/>
  <sheetViews>
    <sheetView workbookViewId="0">
      <selection activeCell="E1" sqref="E1"/>
    </sheetView>
  </sheetViews>
  <sheetFormatPr defaultRowHeight="15" x14ac:dyDescent="0.25"/>
  <sheetData>
    <row r="1" spans="2:19" x14ac:dyDescent="0.25">
      <c r="E1">
        <v>12</v>
      </c>
    </row>
    <row r="4" spans="2:19" x14ac:dyDescent="0.25">
      <c r="B4" s="109"/>
    </row>
    <row r="5" spans="2:19" x14ac:dyDescent="0.25">
      <c r="B5" s="109" t="s">
        <v>930</v>
      </c>
    </row>
    <row r="6" spans="2:19" x14ac:dyDescent="0.25">
      <c r="B6" s="109" t="s">
        <v>931</v>
      </c>
      <c r="C6" s="109" t="s">
        <v>932</v>
      </c>
      <c r="D6" s="109" t="s">
        <v>933</v>
      </c>
      <c r="E6" s="109" t="s">
        <v>934</v>
      </c>
      <c r="F6" s="109" t="s">
        <v>935</v>
      </c>
      <c r="G6" s="109" t="s">
        <v>936</v>
      </c>
      <c r="H6" s="109" t="s">
        <v>937</v>
      </c>
      <c r="I6" s="109" t="s">
        <v>938</v>
      </c>
      <c r="J6" s="109" t="s">
        <v>939</v>
      </c>
      <c r="K6" s="109" t="s">
        <v>940</v>
      </c>
      <c r="L6" s="109" t="s">
        <v>941</v>
      </c>
      <c r="M6" s="109" t="s">
        <v>942</v>
      </c>
      <c r="N6" s="109" t="s">
        <v>943</v>
      </c>
      <c r="O6" s="109" t="s">
        <v>944</v>
      </c>
      <c r="P6" s="109" t="s">
        <v>945</v>
      </c>
      <c r="Q6" s="109" t="s">
        <v>946</v>
      </c>
      <c r="R6" s="109" t="s">
        <v>947</v>
      </c>
      <c r="S6" s="109" t="s">
        <v>948</v>
      </c>
    </row>
    <row r="7" spans="2:19" x14ac:dyDescent="0.25">
      <c r="B7" s="109" t="s">
        <v>931</v>
      </c>
      <c r="C7" s="109" t="s">
        <v>932</v>
      </c>
      <c r="D7" s="109" t="s">
        <v>933</v>
      </c>
      <c r="E7" s="109" t="s">
        <v>934</v>
      </c>
      <c r="F7" s="109" t="s">
        <v>935</v>
      </c>
      <c r="G7" s="109" t="s">
        <v>936</v>
      </c>
      <c r="H7" s="109" t="s">
        <v>937</v>
      </c>
      <c r="I7" s="109" t="s">
        <v>938</v>
      </c>
      <c r="J7" s="109" t="s">
        <v>939</v>
      </c>
      <c r="K7" s="109" t="s">
        <v>940</v>
      </c>
      <c r="L7" s="109" t="s">
        <v>941</v>
      </c>
      <c r="M7" s="109" t="s">
        <v>942</v>
      </c>
      <c r="N7" s="109" t="s">
        <v>943</v>
      </c>
      <c r="O7" s="109" t="s">
        <v>944</v>
      </c>
      <c r="P7" s="109" t="s">
        <v>945</v>
      </c>
      <c r="Q7" s="109" t="s">
        <v>946</v>
      </c>
      <c r="R7" s="109" t="s">
        <v>947</v>
      </c>
      <c r="S7" s="109" t="s">
        <v>948</v>
      </c>
    </row>
    <row r="8" spans="2:19" x14ac:dyDescent="0.25">
      <c r="B8" s="109" t="s">
        <v>931</v>
      </c>
      <c r="C8" s="109" t="s">
        <v>950</v>
      </c>
      <c r="D8" s="109" t="s">
        <v>951</v>
      </c>
      <c r="E8" s="109" t="s">
        <v>952</v>
      </c>
      <c r="F8" s="109" t="s">
        <v>953</v>
      </c>
      <c r="G8" s="109" t="s">
        <v>954</v>
      </c>
      <c r="H8" s="109" t="s">
        <v>955</v>
      </c>
      <c r="I8" s="109" t="s">
        <v>956</v>
      </c>
      <c r="J8" s="109" t="s">
        <v>957</v>
      </c>
      <c r="K8" s="109" t="s">
        <v>958</v>
      </c>
      <c r="L8" s="109" t="s">
        <v>959</v>
      </c>
      <c r="M8" s="109" t="s">
        <v>960</v>
      </c>
      <c r="N8" s="109" t="s">
        <v>961</v>
      </c>
      <c r="O8" s="109" t="s">
        <v>962</v>
      </c>
      <c r="P8" s="109" t="s">
        <v>963</v>
      </c>
      <c r="Q8" s="109" t="s">
        <v>964</v>
      </c>
      <c r="R8" s="109" t="s">
        <v>965</v>
      </c>
    </row>
    <row r="9" spans="2:19" x14ac:dyDescent="0.25">
      <c r="B9" s="109" t="s">
        <v>931</v>
      </c>
      <c r="C9" s="109" t="s">
        <v>950</v>
      </c>
      <c r="D9" s="109" t="s">
        <v>951</v>
      </c>
      <c r="E9" s="109" t="s">
        <v>952</v>
      </c>
      <c r="F9" s="109" t="s">
        <v>953</v>
      </c>
      <c r="G9" s="109" t="s">
        <v>954</v>
      </c>
      <c r="H9" s="109" t="s">
        <v>955</v>
      </c>
      <c r="I9" s="109" t="s">
        <v>956</v>
      </c>
      <c r="J9" s="109" t="s">
        <v>957</v>
      </c>
      <c r="K9" s="109" t="s">
        <v>958</v>
      </c>
      <c r="L9" s="109" t="s">
        <v>959</v>
      </c>
      <c r="M9" s="109" t="s">
        <v>960</v>
      </c>
      <c r="N9" s="109" t="s">
        <v>961</v>
      </c>
      <c r="O9" s="109" t="s">
        <v>962</v>
      </c>
      <c r="P9" s="109" t="s">
        <v>963</v>
      </c>
      <c r="Q9" s="109" t="s">
        <v>964</v>
      </c>
      <c r="R9" s="109" t="s">
        <v>966</v>
      </c>
    </row>
    <row r="10" spans="2:19" x14ac:dyDescent="0.25">
      <c r="B10" s="109"/>
    </row>
    <row r="11" spans="2:19" x14ac:dyDescent="0.25">
      <c r="B11" s="109" t="s">
        <v>1853</v>
      </c>
    </row>
    <row r="12" spans="2:19" x14ac:dyDescent="0.25">
      <c r="B12" s="109" t="s">
        <v>1903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rgb="FF0070C0"/>
  </sheetPr>
  <dimension ref="A1:XFC27"/>
  <sheetViews>
    <sheetView showGridLines="0" topLeftCell="C8" workbookViewId="0">
      <selection activeCell="E9" sqref="E9:F9"/>
    </sheetView>
  </sheetViews>
  <sheetFormatPr defaultColWidth="0" defaultRowHeight="15" customHeight="1" zeroHeight="1" x14ac:dyDescent="0.25"/>
  <cols>
    <col min="1" max="1" width="9.140625" hidden="1" customWidth="1"/>
    <col min="2" max="2" width="4" hidden="1" customWidth="1"/>
    <col min="3" max="4" width="2.7109375" customWidth="1"/>
    <col min="5" max="5" width="41.28515625" bestFit="1" customWidth="1"/>
    <col min="6" max="6" width="26" bestFit="1" customWidth="1"/>
    <col min="7" max="8" width="2.7109375" customWidth="1"/>
    <col min="9" max="9" width="10.5703125" hidden="1"/>
    <col min="10" max="10" width="45.42578125" hidden="1"/>
    <col min="11" max="11" width="2.7109375" hidden="1"/>
    <col min="12" max="16383" width="9.140625" hidden="1"/>
    <col min="16384" max="16384" width="2" hidden="1"/>
  </cols>
  <sheetData>
    <row r="1" spans="4:19" hidden="1" x14ac:dyDescent="0.25"/>
    <row r="2" spans="4:19" hidden="1" x14ac:dyDescent="0.25"/>
    <row r="3" spans="4:19" hidden="1" x14ac:dyDescent="0.25"/>
    <row r="4" spans="4:19" ht="15" hidden="1" customHeight="1" thickBot="1" x14ac:dyDescent="0.3"/>
    <row r="5" spans="4:19" ht="33.75" hidden="1" customHeight="1" thickBot="1" x14ac:dyDescent="0.3">
      <c r="D5" s="663" t="s">
        <v>949</v>
      </c>
      <c r="E5" s="665"/>
      <c r="F5" s="402">
        <v>8</v>
      </c>
      <c r="I5" s="411" t="s">
        <v>434</v>
      </c>
      <c r="J5" s="403"/>
    </row>
    <row r="6" spans="4:19" ht="15" hidden="1" customHeight="1" x14ac:dyDescent="0.25">
      <c r="M6" t="s">
        <v>432</v>
      </c>
    </row>
    <row r="7" spans="4:19" ht="30.75" hidden="1" customHeight="1" x14ac:dyDescent="0.25">
      <c r="M7" t="s">
        <v>431</v>
      </c>
    </row>
    <row r="8" spans="4:19" ht="36.950000000000003" customHeight="1" x14ac:dyDescent="0.25">
      <c r="M8" s="179" t="s">
        <v>430</v>
      </c>
      <c r="N8" s="179" t="s">
        <v>429</v>
      </c>
      <c r="O8" s="180" t="s">
        <v>428</v>
      </c>
      <c r="P8" s="180" t="s">
        <v>427</v>
      </c>
      <c r="Q8" s="180" t="s">
        <v>426</v>
      </c>
      <c r="R8" s="180" t="s">
        <v>425</v>
      </c>
      <c r="S8" s="179" t="s">
        <v>424</v>
      </c>
    </row>
    <row r="9" spans="4:19" ht="35.1" customHeight="1" x14ac:dyDescent="0.25">
      <c r="E9" s="663" t="s">
        <v>668</v>
      </c>
      <c r="F9" s="665"/>
      <c r="M9" s="180" t="s">
        <v>423</v>
      </c>
      <c r="N9" s="180" t="s">
        <v>416</v>
      </c>
      <c r="O9" s="180" t="s">
        <v>415</v>
      </c>
      <c r="P9" s="181" t="str">
        <f>TEXT(ROW(Table153[[#This Row],[contextRef]]) - ROW(Table153[[#Headers],[contextRef]]), "00000")</f>
        <v>00001</v>
      </c>
      <c r="Q9" s="180">
        <v>0</v>
      </c>
      <c r="R9" s="180" t="s">
        <v>414</v>
      </c>
      <c r="S9" s="179" t="str">
        <f>TEXT(ROW(Table153[[#This Row],[id]]) - ROW(Table153[[#Headers],[id]]), "00000")</f>
        <v>00001</v>
      </c>
    </row>
    <row r="10" spans="4:19" ht="20.100000000000001" customHeight="1" x14ac:dyDescent="0.25">
      <c r="E10" s="108" t="s">
        <v>669</v>
      </c>
      <c r="F10" s="346" t="s">
        <v>926</v>
      </c>
      <c r="M10" s="179" t="s">
        <v>422</v>
      </c>
      <c r="N10" s="180" t="s">
        <v>416</v>
      </c>
      <c r="O10" s="180" t="s">
        <v>415</v>
      </c>
      <c r="P10" s="181" t="str">
        <f>TEXT(ROW(Table153[[#This Row],[contextRef]]) - ROW(Table153[[#Headers],[contextRef]]), "00000")</f>
        <v>00002</v>
      </c>
      <c r="Q10" s="180">
        <v>0</v>
      </c>
      <c r="R10" s="180" t="s">
        <v>414</v>
      </c>
      <c r="S10" s="179" t="str">
        <f>TEXT(ROW(Table153[[#This Row],[id]]) - ROW(Table153[[#Headers],[id]]), "00000")</f>
        <v>00002</v>
      </c>
    </row>
    <row r="11" spans="4:19" ht="20.100000000000001" customHeight="1" x14ac:dyDescent="0.25">
      <c r="E11" s="335" t="s">
        <v>670</v>
      </c>
      <c r="F11" s="105" t="s">
        <v>927</v>
      </c>
      <c r="M11" s="179" t="s">
        <v>421</v>
      </c>
      <c r="N11" s="180" t="s">
        <v>416</v>
      </c>
      <c r="O11" s="180" t="s">
        <v>415</v>
      </c>
      <c r="P11" s="181" t="str">
        <f>TEXT(ROW(Table153[[#This Row],[contextRef]]) - ROW(Table153[[#Headers],[contextRef]]), "00000")</f>
        <v>00003</v>
      </c>
      <c r="Q11" s="180">
        <v>0</v>
      </c>
      <c r="R11" s="180" t="s">
        <v>414</v>
      </c>
      <c r="S11" s="179" t="str">
        <f>TEXT(ROW(Table153[[#This Row],[id]]) - ROW(Table153[[#Headers],[id]]), "00000")</f>
        <v>00003</v>
      </c>
    </row>
    <row r="12" spans="4:19" ht="20.100000000000001" customHeight="1" x14ac:dyDescent="0.25">
      <c r="E12" s="335" t="s">
        <v>671</v>
      </c>
      <c r="F12" s="105" t="s">
        <v>913</v>
      </c>
      <c r="M12" s="179" t="s">
        <v>420</v>
      </c>
      <c r="N12" s="180" t="s">
        <v>416</v>
      </c>
      <c r="O12" s="180" t="s">
        <v>415</v>
      </c>
      <c r="P12" s="181" t="str">
        <f>TEXT(ROW(Table153[[#This Row],[contextRef]]) - ROW(Table153[[#Headers],[contextRef]]), "00000")</f>
        <v>00004</v>
      </c>
      <c r="Q12" s="180">
        <v>0</v>
      </c>
      <c r="R12" s="180" t="s">
        <v>414</v>
      </c>
      <c r="S12" s="179" t="str">
        <f>TEXT(ROW(Table153[[#This Row],[id]]) - ROW(Table153[[#Headers],[id]]), "00000")</f>
        <v>00004</v>
      </c>
    </row>
    <row r="13" spans="4:19" ht="20.100000000000001" customHeight="1" x14ac:dyDescent="0.25">
      <c r="E13" s="335" t="s">
        <v>672</v>
      </c>
      <c r="F13" s="105">
        <v>34</v>
      </c>
      <c r="M13" s="179" t="s">
        <v>419</v>
      </c>
      <c r="N13" s="180" t="s">
        <v>416</v>
      </c>
      <c r="O13" s="180" t="s">
        <v>415</v>
      </c>
      <c r="P13" s="181" t="str">
        <f>TEXT(ROW(Table153[[#This Row],[contextRef]]) - ROW(Table153[[#Headers],[contextRef]]), "00000")</f>
        <v>00005</v>
      </c>
      <c r="Q13" s="180">
        <v>0</v>
      </c>
      <c r="R13" s="180" t="s">
        <v>414</v>
      </c>
      <c r="S13" s="179" t="str">
        <f>TEXT(ROW(Table153[[#This Row],[id]]) - ROW(Table153[[#Headers],[id]]), "00000")</f>
        <v>00005</v>
      </c>
    </row>
    <row r="14" spans="4:19" ht="20.100000000000001" customHeight="1" x14ac:dyDescent="0.25">
      <c r="E14" s="335" t="s">
        <v>673</v>
      </c>
      <c r="F14" s="347">
        <v>1175000</v>
      </c>
      <c r="M14" s="179" t="s">
        <v>418</v>
      </c>
      <c r="N14" s="180" t="s">
        <v>416</v>
      </c>
      <c r="O14" s="180" t="s">
        <v>415</v>
      </c>
      <c r="P14" s="181" t="str">
        <f>TEXT(ROW(Table153[[#This Row],[contextRef]]) - ROW(Table153[[#Headers],[contextRef]]), "00000")</f>
        <v>00006</v>
      </c>
      <c r="Q14" s="180">
        <v>0</v>
      </c>
      <c r="R14" s="180" t="s">
        <v>414</v>
      </c>
      <c r="S14" s="179" t="str">
        <f>TEXT(ROW(Table153[[#This Row],[id]]) - ROW(Table153[[#Headers],[id]]), "00000")</f>
        <v>00006</v>
      </c>
    </row>
    <row r="15" spans="4:19" ht="20.100000000000001" customHeight="1" x14ac:dyDescent="0.25">
      <c r="E15" s="335" t="s">
        <v>674</v>
      </c>
      <c r="F15" s="347">
        <v>914000</v>
      </c>
      <c r="M15" s="179" t="s">
        <v>417</v>
      </c>
      <c r="N15" s="180" t="s">
        <v>416</v>
      </c>
      <c r="O15" s="180" t="s">
        <v>415</v>
      </c>
      <c r="P15" s="181" t="str">
        <f>TEXT(ROW(Table153[[#This Row],[contextRef]]) - ROW(Table153[[#Headers],[contextRef]]), "00000")</f>
        <v>00007</v>
      </c>
      <c r="Q15" s="180">
        <v>0</v>
      </c>
      <c r="R15" s="180" t="s">
        <v>414</v>
      </c>
      <c r="S15" s="179" t="str">
        <f>TEXT(ROW(Table153[[#This Row],[id]]) - ROW(Table153[[#Headers],[id]]), "00000")</f>
        <v>00007</v>
      </c>
    </row>
    <row r="16" spans="4:19" ht="20.100000000000001" customHeight="1" x14ac:dyDescent="0.25">
      <c r="E16" s="335" t="s">
        <v>675</v>
      </c>
      <c r="F16" s="105" t="s">
        <v>916</v>
      </c>
    </row>
    <row r="17" spans="5:6" ht="20.100000000000001" customHeight="1" x14ac:dyDescent="0.25">
      <c r="E17" s="335" t="s">
        <v>676</v>
      </c>
      <c r="F17" s="105">
        <v>0</v>
      </c>
    </row>
    <row r="18" spans="5:6" ht="20.100000000000001" customHeight="1" x14ac:dyDescent="0.25">
      <c r="E18" s="335" t="s">
        <v>677</v>
      </c>
      <c r="F18" s="347">
        <v>7308000</v>
      </c>
    </row>
    <row r="19" spans="5:6" ht="20.100000000000001" customHeight="1" x14ac:dyDescent="0.25">
      <c r="E19" s="335" t="s">
        <v>678</v>
      </c>
      <c r="F19" s="347">
        <v>6286000</v>
      </c>
    </row>
    <row r="20" spans="5:6" ht="20.100000000000001" customHeight="1" x14ac:dyDescent="0.25">
      <c r="E20" s="335" t="s">
        <v>679</v>
      </c>
      <c r="F20" s="105" t="s">
        <v>913</v>
      </c>
    </row>
    <row r="21" spans="5:6" ht="20.100000000000001" customHeight="1" x14ac:dyDescent="0.25">
      <c r="E21" s="335" t="s">
        <v>680</v>
      </c>
      <c r="F21" s="105" t="s">
        <v>928</v>
      </c>
    </row>
    <row r="22" spans="5:6" ht="20.100000000000001" customHeight="1" x14ac:dyDescent="0.25">
      <c r="E22" s="335" t="s">
        <v>681</v>
      </c>
      <c r="F22" s="105" t="s">
        <v>929</v>
      </c>
    </row>
    <row r="23" spans="5:6" ht="20.100000000000001" customHeight="1" x14ac:dyDescent="0.25">
      <c r="E23" s="335" t="s">
        <v>682</v>
      </c>
      <c r="F23" s="105" t="s">
        <v>913</v>
      </c>
    </row>
    <row r="24" spans="5:6" ht="20.100000000000001" customHeight="1" x14ac:dyDescent="0.25">
      <c r="E24" s="335" t="s">
        <v>683</v>
      </c>
      <c r="F24" s="105" t="s">
        <v>913</v>
      </c>
    </row>
    <row r="25" spans="5:6" ht="19.5" customHeight="1" x14ac:dyDescent="0.25">
      <c r="E25" s="335" t="s">
        <v>684</v>
      </c>
      <c r="F25" s="105" t="s">
        <v>913</v>
      </c>
    </row>
    <row r="26" spans="5:6" ht="20.100000000000001" customHeight="1" x14ac:dyDescent="0.25">
      <c r="E26" s="103" t="s">
        <v>1848</v>
      </c>
      <c r="F26" s="348" t="s">
        <v>1848</v>
      </c>
    </row>
    <row r="27" spans="5:6" ht="15" customHeight="1" x14ac:dyDescent="0.25"/>
  </sheetData>
  <sheetProtection algorithmName="SHA-512" hashValue="ndbKxnf0dHgdaTNHmA8Oghy9yMKJGFvyXKgfFl0Md+fPQWM00U5y0xvmdTl6OaJVe/VKhyEyjSkxppYakCHuOA==" saltValue="Pvkkpnk4GoQX1DVyLpVFlg==" spinCount="100000" sheet="1" objects="1" scenarios="1"/>
  <mergeCells count="2">
    <mergeCell ref="E9:F9"/>
    <mergeCell ref="D5:E5"/>
  </mergeCells>
  <dataValidations count="1">
    <dataValidation allowBlank="1" showInputMessage="1" showErrorMessage="1" prompt="Please enter date in _x000a_mm-dd-yyyy format" sqref="F10 F16" xr:uid="{00000000-0002-0000-0F00-000000000000}"/>
  </dataValidation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E863"/>
  <sheetViews>
    <sheetView topLeftCell="A460" zoomScale="85" zoomScaleNormal="85" workbookViewId="0">
      <selection activeCell="B469" sqref="B469"/>
    </sheetView>
  </sheetViews>
  <sheetFormatPr defaultRowHeight="15" x14ac:dyDescent="0.25"/>
  <cols>
    <col min="1" max="1" width="60.28515625" customWidth="1"/>
    <col min="2" max="2" width="48.85546875" customWidth="1"/>
    <col min="3" max="3" width="24.7109375" customWidth="1"/>
    <col min="4" max="4" width="13.28515625" customWidth="1"/>
    <col min="5" max="5" width="31.42578125" customWidth="1"/>
  </cols>
  <sheetData>
    <row r="1" spans="1:5" ht="18.75" x14ac:dyDescent="0.25">
      <c r="A1" s="353" t="s">
        <v>737</v>
      </c>
      <c r="B1" s="353" t="s">
        <v>738</v>
      </c>
      <c r="C1" s="353" t="s">
        <v>739</v>
      </c>
      <c r="D1" s="353" t="s">
        <v>740</v>
      </c>
      <c r="E1" s="353" t="s">
        <v>741</v>
      </c>
    </row>
    <row r="2" spans="1:5" ht="18.75" x14ac:dyDescent="0.3">
      <c r="A2" s="769" t="s">
        <v>742</v>
      </c>
      <c r="B2" s="769"/>
      <c r="C2" s="769"/>
      <c r="D2" s="769"/>
      <c r="E2" s="769"/>
    </row>
    <row r="3" spans="1:5" x14ac:dyDescent="0.25">
      <c r="A3" t="s">
        <v>743</v>
      </c>
      <c r="B3" t="s">
        <v>202</v>
      </c>
      <c r="C3" t="s">
        <v>744</v>
      </c>
      <c r="D3" t="s">
        <v>745</v>
      </c>
      <c r="E3" t="s">
        <v>746</v>
      </c>
    </row>
    <row r="4" spans="1:5" x14ac:dyDescent="0.25">
      <c r="A4" t="s">
        <v>747</v>
      </c>
      <c r="B4" t="s">
        <v>200</v>
      </c>
      <c r="C4" t="s">
        <v>748</v>
      </c>
      <c r="D4" t="s">
        <v>749</v>
      </c>
      <c r="E4" t="s">
        <v>750</v>
      </c>
    </row>
    <row r="5" spans="1:5" x14ac:dyDescent="0.25">
      <c r="A5" t="s">
        <v>751</v>
      </c>
      <c r="B5" t="s">
        <v>198</v>
      </c>
      <c r="C5" t="s">
        <v>748</v>
      </c>
      <c r="D5" t="s">
        <v>749</v>
      </c>
      <c r="E5" t="s">
        <v>752</v>
      </c>
    </row>
    <row r="6" spans="1:5" x14ac:dyDescent="0.25">
      <c r="B6" t="s">
        <v>196</v>
      </c>
      <c r="E6" t="s">
        <v>753</v>
      </c>
    </row>
    <row r="7" spans="1:5" ht="18.75" x14ac:dyDescent="0.3">
      <c r="A7" s="354" t="s">
        <v>336</v>
      </c>
      <c r="B7" s="354"/>
      <c r="C7" s="354"/>
      <c r="D7" s="354"/>
      <c r="E7" s="354"/>
    </row>
    <row r="8" spans="1:5" x14ac:dyDescent="0.25">
      <c r="A8" t="s">
        <v>762</v>
      </c>
      <c r="B8" t="s">
        <v>447</v>
      </c>
      <c r="C8" t="s">
        <v>754</v>
      </c>
      <c r="D8" t="s">
        <v>749</v>
      </c>
    </row>
    <row r="9" spans="1:5" x14ac:dyDescent="0.25">
      <c r="A9" t="s">
        <v>438</v>
      </c>
      <c r="B9" t="s">
        <v>438</v>
      </c>
      <c r="C9" t="s">
        <v>754</v>
      </c>
      <c r="D9" t="s">
        <v>749</v>
      </c>
    </row>
    <row r="10" spans="1:5" x14ac:dyDescent="0.25">
      <c r="A10" t="s">
        <v>763</v>
      </c>
      <c r="B10" t="s">
        <v>439</v>
      </c>
      <c r="C10" t="s">
        <v>754</v>
      </c>
      <c r="D10" t="s">
        <v>749</v>
      </c>
    </row>
    <row r="11" spans="1:5" x14ac:dyDescent="0.25">
      <c r="A11" t="s">
        <v>755</v>
      </c>
      <c r="B11" t="s">
        <v>441</v>
      </c>
      <c r="C11" t="s">
        <v>754</v>
      </c>
      <c r="D11" t="s">
        <v>749</v>
      </c>
    </row>
    <row r="12" spans="1:5" x14ac:dyDescent="0.25">
      <c r="A12" t="s">
        <v>764</v>
      </c>
      <c r="B12" t="s">
        <v>442</v>
      </c>
      <c r="C12" t="s">
        <v>754</v>
      </c>
      <c r="D12" t="s">
        <v>749</v>
      </c>
    </row>
    <row r="13" spans="1:5" x14ac:dyDescent="0.25">
      <c r="A13" t="s">
        <v>765</v>
      </c>
      <c r="B13" t="s">
        <v>320</v>
      </c>
      <c r="C13" t="s">
        <v>754</v>
      </c>
      <c r="D13" t="s">
        <v>749</v>
      </c>
    </row>
    <row r="14" spans="1:5" x14ac:dyDescent="0.25">
      <c r="A14" t="s">
        <v>766</v>
      </c>
      <c r="B14" t="s">
        <v>443</v>
      </c>
      <c r="C14" t="s">
        <v>754</v>
      </c>
      <c r="D14" t="s">
        <v>749</v>
      </c>
    </row>
    <row r="15" spans="1:5" x14ac:dyDescent="0.25">
      <c r="A15" t="s">
        <v>767</v>
      </c>
      <c r="B15" t="s">
        <v>444</v>
      </c>
      <c r="C15" t="s">
        <v>754</v>
      </c>
      <c r="D15" t="s">
        <v>749</v>
      </c>
    </row>
    <row r="16" spans="1:5" x14ac:dyDescent="0.25">
      <c r="A16" t="s">
        <v>768</v>
      </c>
      <c r="B16" t="s">
        <v>445</v>
      </c>
      <c r="C16" t="s">
        <v>754</v>
      </c>
      <c r="D16" t="s">
        <v>749</v>
      </c>
    </row>
    <row r="17" spans="1:4" x14ac:dyDescent="0.25">
      <c r="A17" t="s">
        <v>769</v>
      </c>
      <c r="B17" t="s">
        <v>802</v>
      </c>
      <c r="C17" t="s">
        <v>754</v>
      </c>
      <c r="D17" t="s">
        <v>749</v>
      </c>
    </row>
    <row r="18" spans="1:4" x14ac:dyDescent="0.25">
      <c r="A18" t="s">
        <v>770</v>
      </c>
      <c r="B18" t="s">
        <v>911</v>
      </c>
      <c r="C18" t="s">
        <v>754</v>
      </c>
      <c r="D18" t="s">
        <v>749</v>
      </c>
    </row>
    <row r="19" spans="1:4" x14ac:dyDescent="0.25">
      <c r="A19" t="s">
        <v>771</v>
      </c>
      <c r="B19" t="s">
        <v>760</v>
      </c>
      <c r="C19" t="s">
        <v>754</v>
      </c>
      <c r="D19" t="s">
        <v>749</v>
      </c>
    </row>
    <row r="20" spans="1:4" x14ac:dyDescent="0.25">
      <c r="A20" t="s">
        <v>761</v>
      </c>
      <c r="B20" t="s">
        <v>448</v>
      </c>
      <c r="C20" t="s">
        <v>754</v>
      </c>
      <c r="D20" t="s">
        <v>749</v>
      </c>
    </row>
    <row r="21" spans="1:4" x14ac:dyDescent="0.25">
      <c r="A21" t="s">
        <v>232</v>
      </c>
      <c r="B21" t="s">
        <v>232</v>
      </c>
      <c r="C21" t="s">
        <v>754</v>
      </c>
      <c r="D21" t="s">
        <v>749</v>
      </c>
    </row>
    <row r="22" spans="1:4" x14ac:dyDescent="0.25">
      <c r="A22" t="s">
        <v>772</v>
      </c>
      <c r="B22" t="s">
        <v>231</v>
      </c>
      <c r="C22" t="s">
        <v>754</v>
      </c>
      <c r="D22" t="s">
        <v>749</v>
      </c>
    </row>
    <row r="23" spans="1:4" x14ac:dyDescent="0.25">
      <c r="A23" t="s">
        <v>773</v>
      </c>
      <c r="B23" t="s">
        <v>803</v>
      </c>
      <c r="C23" t="s">
        <v>754</v>
      </c>
      <c r="D23" t="s">
        <v>749</v>
      </c>
    </row>
    <row r="24" spans="1:4" x14ac:dyDescent="0.25">
      <c r="A24" t="s">
        <v>774</v>
      </c>
      <c r="B24" t="s">
        <v>451</v>
      </c>
      <c r="C24" t="s">
        <v>754</v>
      </c>
      <c r="D24" t="s">
        <v>749</v>
      </c>
    </row>
    <row r="25" spans="1:4" x14ac:dyDescent="0.25">
      <c r="A25" t="s">
        <v>775</v>
      </c>
      <c r="B25" t="s">
        <v>452</v>
      </c>
      <c r="C25" t="s">
        <v>754</v>
      </c>
      <c r="D25" t="s">
        <v>749</v>
      </c>
    </row>
    <row r="26" spans="1:4" x14ac:dyDescent="0.25">
      <c r="A26" t="s">
        <v>776</v>
      </c>
      <c r="B26" t="s">
        <v>453</v>
      </c>
      <c r="C26" t="s">
        <v>754</v>
      </c>
      <c r="D26" t="s">
        <v>749</v>
      </c>
    </row>
    <row r="27" spans="1:4" x14ac:dyDescent="0.25">
      <c r="A27" t="s">
        <v>777</v>
      </c>
      <c r="B27" t="s">
        <v>454</v>
      </c>
      <c r="C27" t="s">
        <v>754</v>
      </c>
      <c r="D27" t="s">
        <v>749</v>
      </c>
    </row>
    <row r="28" spans="1:4" x14ac:dyDescent="0.25">
      <c r="A28" t="s">
        <v>778</v>
      </c>
      <c r="B28" t="s">
        <v>455</v>
      </c>
      <c r="C28" t="s">
        <v>754</v>
      </c>
      <c r="D28" t="s">
        <v>749</v>
      </c>
    </row>
    <row r="29" spans="1:4" x14ac:dyDescent="0.25">
      <c r="A29" t="s">
        <v>756</v>
      </c>
      <c r="B29" t="s">
        <v>230</v>
      </c>
      <c r="C29" t="s">
        <v>754</v>
      </c>
      <c r="D29" t="s">
        <v>749</v>
      </c>
    </row>
    <row r="30" spans="1:4" x14ac:dyDescent="0.25">
      <c r="A30" t="s">
        <v>779</v>
      </c>
      <c r="B30" t="s">
        <v>456</v>
      </c>
      <c r="C30" t="s">
        <v>754</v>
      </c>
      <c r="D30" t="s">
        <v>749</v>
      </c>
    </row>
    <row r="31" spans="1:4" x14ac:dyDescent="0.25">
      <c r="A31" t="s">
        <v>780</v>
      </c>
      <c r="B31" t="s">
        <v>457</v>
      </c>
      <c r="C31" t="s">
        <v>754</v>
      </c>
      <c r="D31" t="s">
        <v>749</v>
      </c>
    </row>
    <row r="32" spans="1:4" x14ac:dyDescent="0.25">
      <c r="A32" t="s">
        <v>757</v>
      </c>
      <c r="B32" t="s">
        <v>228</v>
      </c>
      <c r="C32" t="s">
        <v>754</v>
      </c>
      <c r="D32" t="s">
        <v>749</v>
      </c>
    </row>
    <row r="33" spans="1:4" x14ac:dyDescent="0.25">
      <c r="A33" t="s">
        <v>781</v>
      </c>
      <c r="B33" t="s">
        <v>458</v>
      </c>
      <c r="C33" t="s">
        <v>754</v>
      </c>
      <c r="D33" t="s">
        <v>749</v>
      </c>
    </row>
    <row r="34" spans="1:4" x14ac:dyDescent="0.25">
      <c r="A34" t="s">
        <v>782</v>
      </c>
      <c r="B34" t="s">
        <v>459</v>
      </c>
      <c r="C34" t="s">
        <v>754</v>
      </c>
      <c r="D34" t="s">
        <v>749</v>
      </c>
    </row>
    <row r="35" spans="1:4" x14ac:dyDescent="0.25">
      <c r="A35" t="s">
        <v>783</v>
      </c>
      <c r="B35" t="s">
        <v>460</v>
      </c>
      <c r="C35" t="s">
        <v>754</v>
      </c>
      <c r="D35" t="s">
        <v>749</v>
      </c>
    </row>
    <row r="36" spans="1:4" x14ac:dyDescent="0.25">
      <c r="A36" t="s">
        <v>784</v>
      </c>
      <c r="B36" t="s">
        <v>461</v>
      </c>
      <c r="C36" t="s">
        <v>754</v>
      </c>
      <c r="D36" t="s">
        <v>749</v>
      </c>
    </row>
    <row r="37" spans="1:4" x14ac:dyDescent="0.25">
      <c r="A37" t="s">
        <v>785</v>
      </c>
      <c r="B37" t="s">
        <v>275</v>
      </c>
      <c r="C37" t="s">
        <v>754</v>
      </c>
      <c r="D37" t="s">
        <v>749</v>
      </c>
    </row>
    <row r="38" spans="1:4" x14ac:dyDescent="0.25">
      <c r="A38" t="s">
        <v>786</v>
      </c>
      <c r="B38" t="s">
        <v>225</v>
      </c>
      <c r="C38" t="s">
        <v>754</v>
      </c>
      <c r="D38" t="s">
        <v>749</v>
      </c>
    </row>
    <row r="39" spans="1:4" x14ac:dyDescent="0.25">
      <c r="A39" t="s">
        <v>787</v>
      </c>
      <c r="B39" t="s">
        <v>224</v>
      </c>
      <c r="C39" t="s">
        <v>754</v>
      </c>
      <c r="D39" t="s">
        <v>749</v>
      </c>
    </row>
    <row r="40" spans="1:4" x14ac:dyDescent="0.25">
      <c r="A40" t="s">
        <v>788</v>
      </c>
      <c r="B40" t="s">
        <v>223</v>
      </c>
      <c r="C40" t="s">
        <v>754</v>
      </c>
      <c r="D40" t="s">
        <v>749</v>
      </c>
    </row>
    <row r="41" spans="1:4" x14ac:dyDescent="0.25">
      <c r="A41" t="s">
        <v>789</v>
      </c>
      <c r="B41" t="s">
        <v>299</v>
      </c>
      <c r="C41" t="s">
        <v>754</v>
      </c>
      <c r="D41" t="s">
        <v>749</v>
      </c>
    </row>
    <row r="42" spans="1:4" x14ac:dyDescent="0.25">
      <c r="A42" t="s">
        <v>790</v>
      </c>
      <c r="B42" t="s">
        <v>222</v>
      </c>
      <c r="C42" t="s">
        <v>754</v>
      </c>
      <c r="D42" t="s">
        <v>749</v>
      </c>
    </row>
    <row r="43" spans="1:4" x14ac:dyDescent="0.25">
      <c r="A43" t="s">
        <v>791</v>
      </c>
      <c r="B43" t="s">
        <v>221</v>
      </c>
      <c r="C43" t="s">
        <v>754</v>
      </c>
      <c r="D43" t="s">
        <v>749</v>
      </c>
    </row>
    <row r="44" spans="1:4" x14ac:dyDescent="0.25">
      <c r="A44" t="s">
        <v>792</v>
      </c>
      <c r="B44" t="s">
        <v>463</v>
      </c>
      <c r="C44" t="s">
        <v>754</v>
      </c>
      <c r="D44" t="s">
        <v>749</v>
      </c>
    </row>
    <row r="45" spans="1:4" x14ac:dyDescent="0.25">
      <c r="A45" t="s">
        <v>793</v>
      </c>
      <c r="B45" t="s">
        <v>219</v>
      </c>
      <c r="C45" t="s">
        <v>754</v>
      </c>
      <c r="D45" t="s">
        <v>749</v>
      </c>
    </row>
    <row r="46" spans="1:4" x14ac:dyDescent="0.25">
      <c r="A46" t="s">
        <v>794</v>
      </c>
      <c r="B46" t="s">
        <v>217</v>
      </c>
      <c r="C46" t="s">
        <v>754</v>
      </c>
      <c r="D46" t="s">
        <v>749</v>
      </c>
    </row>
    <row r="47" spans="1:4" x14ac:dyDescent="0.25">
      <c r="A47" t="s">
        <v>795</v>
      </c>
      <c r="B47" t="s">
        <v>465</v>
      </c>
      <c r="C47" t="s">
        <v>754</v>
      </c>
      <c r="D47" t="s">
        <v>749</v>
      </c>
    </row>
    <row r="48" spans="1:4" x14ac:dyDescent="0.25">
      <c r="A48" t="s">
        <v>796</v>
      </c>
      <c r="B48" t="s">
        <v>466</v>
      </c>
      <c r="C48" t="s">
        <v>754</v>
      </c>
      <c r="D48" t="s">
        <v>749</v>
      </c>
    </row>
    <row r="49" spans="1:5" x14ac:dyDescent="0.25">
      <c r="A49" t="s">
        <v>797</v>
      </c>
      <c r="B49" t="s">
        <v>467</v>
      </c>
      <c r="C49" t="s">
        <v>754</v>
      </c>
      <c r="D49" t="s">
        <v>749</v>
      </c>
    </row>
    <row r="50" spans="1:5" x14ac:dyDescent="0.25">
      <c r="A50" t="s">
        <v>798</v>
      </c>
      <c r="B50" t="s">
        <v>190</v>
      </c>
      <c r="C50" t="s">
        <v>754</v>
      </c>
      <c r="D50" t="s">
        <v>749</v>
      </c>
    </row>
    <row r="51" spans="1:5" x14ac:dyDescent="0.25">
      <c r="A51" t="s">
        <v>464</v>
      </c>
      <c r="B51" t="s">
        <v>468</v>
      </c>
      <c r="C51" t="s">
        <v>754</v>
      </c>
      <c r="D51" t="s">
        <v>749</v>
      </c>
    </row>
    <row r="52" spans="1:5" x14ac:dyDescent="0.25">
      <c r="A52" t="s">
        <v>799</v>
      </c>
      <c r="B52" t="s">
        <v>471</v>
      </c>
      <c r="C52" t="s">
        <v>754</v>
      </c>
      <c r="D52" t="s">
        <v>749</v>
      </c>
    </row>
    <row r="53" spans="1:5" x14ac:dyDescent="0.25">
      <c r="A53" t="s">
        <v>469</v>
      </c>
      <c r="B53" t="s">
        <v>472</v>
      </c>
      <c r="C53" t="s">
        <v>754</v>
      </c>
      <c r="D53" t="s">
        <v>749</v>
      </c>
    </row>
    <row r="54" spans="1:5" x14ac:dyDescent="0.25">
      <c r="A54" t="s">
        <v>800</v>
      </c>
      <c r="B54" t="s">
        <v>212</v>
      </c>
      <c r="C54" t="s">
        <v>754</v>
      </c>
      <c r="D54" t="s">
        <v>749</v>
      </c>
    </row>
    <row r="55" spans="1:5" x14ac:dyDescent="0.25">
      <c r="A55" t="s">
        <v>801</v>
      </c>
      <c r="B55" t="s">
        <v>211</v>
      </c>
      <c r="C55" t="s">
        <v>754</v>
      </c>
      <c r="D55" t="s">
        <v>749</v>
      </c>
    </row>
    <row r="56" spans="1:5" x14ac:dyDescent="0.25">
      <c r="A56" t="s">
        <v>758</v>
      </c>
      <c r="B56" t="s">
        <v>210</v>
      </c>
      <c r="C56" t="s">
        <v>754</v>
      </c>
      <c r="D56" t="s">
        <v>749</v>
      </c>
    </row>
    <row r="57" spans="1:5" ht="18.75" x14ac:dyDescent="0.3">
      <c r="A57" s="354" t="s">
        <v>268</v>
      </c>
      <c r="B57" s="354"/>
      <c r="C57" s="354"/>
      <c r="D57" s="354"/>
      <c r="E57" s="354"/>
    </row>
    <row r="58" spans="1:5" x14ac:dyDescent="0.25">
      <c r="A58" t="s">
        <v>264</v>
      </c>
      <c r="B58" t="s">
        <v>264</v>
      </c>
      <c r="C58" t="s">
        <v>754</v>
      </c>
      <c r="D58" t="s">
        <v>745</v>
      </c>
    </row>
    <row r="59" spans="1:5" x14ac:dyDescent="0.25">
      <c r="A59" t="s">
        <v>804</v>
      </c>
      <c r="B59" t="s">
        <v>263</v>
      </c>
      <c r="C59" t="s">
        <v>754</v>
      </c>
      <c r="D59" t="s">
        <v>745</v>
      </c>
    </row>
    <row r="60" spans="1:5" x14ac:dyDescent="0.25">
      <c r="A60" t="s">
        <v>805</v>
      </c>
      <c r="B60" t="s">
        <v>262</v>
      </c>
      <c r="C60" t="s">
        <v>754</v>
      </c>
      <c r="D60" t="s">
        <v>745</v>
      </c>
    </row>
    <row r="61" spans="1:5" x14ac:dyDescent="0.25">
      <c r="A61" t="s">
        <v>806</v>
      </c>
      <c r="B61" t="s">
        <v>261</v>
      </c>
      <c r="C61" t="s">
        <v>754</v>
      </c>
      <c r="D61" t="s">
        <v>745</v>
      </c>
    </row>
    <row r="62" spans="1:5" x14ac:dyDescent="0.25">
      <c r="A62" t="s">
        <v>807</v>
      </c>
      <c r="B62" t="s">
        <v>64</v>
      </c>
      <c r="C62" t="s">
        <v>754</v>
      </c>
      <c r="D62" t="s">
        <v>745</v>
      </c>
    </row>
    <row r="63" spans="1:5" x14ac:dyDescent="0.25">
      <c r="A63" t="s">
        <v>807</v>
      </c>
      <c r="B63" t="s">
        <v>237</v>
      </c>
      <c r="C63" t="s">
        <v>754</v>
      </c>
      <c r="D63" t="s">
        <v>745</v>
      </c>
    </row>
    <row r="64" spans="1:5" x14ac:dyDescent="0.25">
      <c r="A64" t="s">
        <v>807</v>
      </c>
      <c r="B64" t="s">
        <v>686</v>
      </c>
      <c r="C64" t="s">
        <v>754</v>
      </c>
      <c r="D64" t="s">
        <v>745</v>
      </c>
    </row>
    <row r="65" spans="1:4" x14ac:dyDescent="0.25">
      <c r="A65" t="s">
        <v>808</v>
      </c>
      <c r="B65" t="s">
        <v>437</v>
      </c>
      <c r="C65" t="s">
        <v>754</v>
      </c>
      <c r="D65" t="s">
        <v>745</v>
      </c>
    </row>
    <row r="66" spans="1:4" x14ac:dyDescent="0.25">
      <c r="A66" t="s">
        <v>809</v>
      </c>
      <c r="B66" s="397" t="s">
        <v>478</v>
      </c>
      <c r="C66" t="s">
        <v>754</v>
      </c>
      <c r="D66" t="s">
        <v>745</v>
      </c>
    </row>
    <row r="67" spans="1:4" x14ac:dyDescent="0.25">
      <c r="A67" t="s">
        <v>810</v>
      </c>
      <c r="B67" t="s">
        <v>8</v>
      </c>
      <c r="C67" t="s">
        <v>754</v>
      </c>
      <c r="D67" t="s">
        <v>745</v>
      </c>
    </row>
    <row r="68" spans="1:4" x14ac:dyDescent="0.25">
      <c r="A68" t="s">
        <v>811</v>
      </c>
      <c r="B68" t="s">
        <v>479</v>
      </c>
      <c r="C68" t="s">
        <v>754</v>
      </c>
      <c r="D68" t="s">
        <v>745</v>
      </c>
    </row>
    <row r="69" spans="1:4" x14ac:dyDescent="0.25">
      <c r="A69" t="s">
        <v>812</v>
      </c>
      <c r="B69" t="s">
        <v>480</v>
      </c>
      <c r="C69" t="s">
        <v>754</v>
      </c>
      <c r="D69" t="s">
        <v>745</v>
      </c>
    </row>
    <row r="70" spans="1:4" x14ac:dyDescent="0.25">
      <c r="A70" t="s">
        <v>813</v>
      </c>
      <c r="B70" t="s">
        <v>481</v>
      </c>
      <c r="C70" t="s">
        <v>754</v>
      </c>
      <c r="D70" t="s">
        <v>745</v>
      </c>
    </row>
    <row r="71" spans="1:4" x14ac:dyDescent="0.25">
      <c r="A71" t="s">
        <v>814</v>
      </c>
      <c r="B71" s="181" t="s">
        <v>482</v>
      </c>
      <c r="C71" t="s">
        <v>754</v>
      </c>
      <c r="D71" t="s">
        <v>745</v>
      </c>
    </row>
    <row r="72" spans="1:4" x14ac:dyDescent="0.25">
      <c r="A72" t="s">
        <v>815</v>
      </c>
      <c r="B72" s="181" t="s">
        <v>483</v>
      </c>
      <c r="C72" t="s">
        <v>754</v>
      </c>
      <c r="D72" t="s">
        <v>745</v>
      </c>
    </row>
    <row r="73" spans="1:4" x14ac:dyDescent="0.25">
      <c r="A73" t="s">
        <v>816</v>
      </c>
      <c r="B73" s="181" t="s">
        <v>484</v>
      </c>
      <c r="C73" t="s">
        <v>754</v>
      </c>
      <c r="D73" t="s">
        <v>745</v>
      </c>
    </row>
    <row r="74" spans="1:4" x14ac:dyDescent="0.25">
      <c r="A74" t="s">
        <v>817</v>
      </c>
      <c r="B74" s="181" t="s">
        <v>485</v>
      </c>
      <c r="C74" t="s">
        <v>754</v>
      </c>
      <c r="D74" t="s">
        <v>745</v>
      </c>
    </row>
    <row r="75" spans="1:4" x14ac:dyDescent="0.25">
      <c r="A75" t="s">
        <v>818</v>
      </c>
      <c r="B75" s="181" t="s">
        <v>486</v>
      </c>
      <c r="C75" t="s">
        <v>754</v>
      </c>
      <c r="D75" t="s">
        <v>745</v>
      </c>
    </row>
    <row r="76" spans="1:4" x14ac:dyDescent="0.25">
      <c r="A76" t="s">
        <v>819</v>
      </c>
      <c r="B76" s="181" t="s">
        <v>487</v>
      </c>
      <c r="C76" t="s">
        <v>754</v>
      </c>
      <c r="D76" t="s">
        <v>745</v>
      </c>
    </row>
    <row r="77" spans="1:4" x14ac:dyDescent="0.25">
      <c r="A77" t="s">
        <v>820</v>
      </c>
      <c r="B77" s="181" t="s">
        <v>488</v>
      </c>
      <c r="C77" t="s">
        <v>754</v>
      </c>
      <c r="D77" t="s">
        <v>745</v>
      </c>
    </row>
    <row r="78" spans="1:4" x14ac:dyDescent="0.25">
      <c r="A78" t="s">
        <v>821</v>
      </c>
      <c r="B78" s="181" t="s">
        <v>489</v>
      </c>
      <c r="C78" t="s">
        <v>754</v>
      </c>
      <c r="D78" t="s">
        <v>745</v>
      </c>
    </row>
    <row r="79" spans="1:4" x14ac:dyDescent="0.25">
      <c r="A79" t="s">
        <v>822</v>
      </c>
      <c r="B79" s="181" t="s">
        <v>490</v>
      </c>
      <c r="C79" t="s">
        <v>754</v>
      </c>
      <c r="D79" t="s">
        <v>745</v>
      </c>
    </row>
    <row r="80" spans="1:4" x14ac:dyDescent="0.25">
      <c r="A80" t="s">
        <v>823</v>
      </c>
      <c r="B80" s="181" t="s">
        <v>491</v>
      </c>
      <c r="C80" t="s">
        <v>754</v>
      </c>
      <c r="D80" t="s">
        <v>745</v>
      </c>
    </row>
    <row r="81" spans="1:5" x14ac:dyDescent="0.25">
      <c r="A81" t="s">
        <v>824</v>
      </c>
      <c r="B81" s="181" t="s">
        <v>316</v>
      </c>
      <c r="C81" t="s">
        <v>754</v>
      </c>
      <c r="D81" t="s">
        <v>745</v>
      </c>
    </row>
    <row r="82" spans="1:5" x14ac:dyDescent="0.25">
      <c r="A82" t="s">
        <v>240</v>
      </c>
      <c r="B82" s="181" t="s">
        <v>240</v>
      </c>
      <c r="C82" t="s">
        <v>754</v>
      </c>
      <c r="D82" t="s">
        <v>745</v>
      </c>
    </row>
    <row r="83" spans="1:5" x14ac:dyDescent="0.25">
      <c r="A83" t="s">
        <v>825</v>
      </c>
      <c r="B83" s="181" t="s">
        <v>492</v>
      </c>
      <c r="C83" t="s">
        <v>754</v>
      </c>
      <c r="D83" t="s">
        <v>745</v>
      </c>
    </row>
    <row r="84" spans="1:5" x14ac:dyDescent="0.25">
      <c r="A84" t="s">
        <v>826</v>
      </c>
      <c r="B84" s="181" t="s">
        <v>493</v>
      </c>
      <c r="C84" t="s">
        <v>754</v>
      </c>
      <c r="D84" t="s">
        <v>745</v>
      </c>
    </row>
    <row r="85" spans="1:5" x14ac:dyDescent="0.25">
      <c r="A85" t="s">
        <v>758</v>
      </c>
      <c r="B85" s="181" t="s">
        <v>494</v>
      </c>
      <c r="C85" t="s">
        <v>754</v>
      </c>
      <c r="D85" t="s">
        <v>749</v>
      </c>
    </row>
    <row r="86" spans="1:5" x14ac:dyDescent="0.25">
      <c r="A86" t="s">
        <v>758</v>
      </c>
      <c r="B86" s="181" t="s">
        <v>495</v>
      </c>
      <c r="C86" t="s">
        <v>754</v>
      </c>
      <c r="D86" t="s">
        <v>749</v>
      </c>
    </row>
    <row r="87" spans="1:5" ht="18.75" x14ac:dyDescent="0.3">
      <c r="A87" s="354" t="s">
        <v>337</v>
      </c>
      <c r="B87" s="354"/>
      <c r="C87" s="354"/>
      <c r="D87" s="354"/>
      <c r="E87" s="354"/>
    </row>
    <row r="88" spans="1:5" x14ac:dyDescent="0.25">
      <c r="A88" t="s">
        <v>906</v>
      </c>
      <c r="B88" t="s">
        <v>862</v>
      </c>
      <c r="C88" t="s">
        <v>754</v>
      </c>
      <c r="D88" t="s">
        <v>749</v>
      </c>
    </row>
    <row r="89" spans="1:5" x14ac:dyDescent="0.25">
      <c r="A89" t="s">
        <v>855</v>
      </c>
      <c r="B89" t="s">
        <v>863</v>
      </c>
      <c r="C89" t="s">
        <v>754</v>
      </c>
      <c r="D89" t="s">
        <v>749</v>
      </c>
    </row>
    <row r="90" spans="1:5" x14ac:dyDescent="0.25">
      <c r="A90" t="s">
        <v>856</v>
      </c>
      <c r="B90" t="s">
        <v>497</v>
      </c>
      <c r="C90" t="s">
        <v>754</v>
      </c>
      <c r="D90" t="s">
        <v>749</v>
      </c>
    </row>
    <row r="91" spans="1:5" x14ac:dyDescent="0.25">
      <c r="A91" t="s">
        <v>857</v>
      </c>
      <c r="B91" t="s">
        <v>498</v>
      </c>
      <c r="C91" t="s">
        <v>754</v>
      </c>
      <c r="D91" t="s">
        <v>749</v>
      </c>
    </row>
    <row r="92" spans="1:5" x14ac:dyDescent="0.25">
      <c r="A92" t="s">
        <v>499</v>
      </c>
      <c r="B92" t="s">
        <v>499</v>
      </c>
      <c r="C92" t="s">
        <v>754</v>
      </c>
      <c r="D92" t="s">
        <v>749</v>
      </c>
    </row>
    <row r="93" spans="1:5" x14ac:dyDescent="0.25">
      <c r="A93" t="s">
        <v>7</v>
      </c>
      <c r="B93" t="s">
        <v>909</v>
      </c>
      <c r="C93" t="s">
        <v>754</v>
      </c>
      <c r="D93" t="s">
        <v>749</v>
      </c>
    </row>
    <row r="94" spans="1:5" x14ac:dyDescent="0.25">
      <c r="A94" t="s">
        <v>827</v>
      </c>
      <c r="B94" t="s">
        <v>500</v>
      </c>
      <c r="C94" t="s">
        <v>754</v>
      </c>
      <c r="D94" t="s">
        <v>749</v>
      </c>
    </row>
    <row r="95" spans="1:5" x14ac:dyDescent="0.25">
      <c r="A95" t="s">
        <v>501</v>
      </c>
      <c r="B95" t="s">
        <v>501</v>
      </c>
      <c r="C95" t="s">
        <v>754</v>
      </c>
      <c r="D95" t="s">
        <v>749</v>
      </c>
    </row>
    <row r="96" spans="1:5" x14ac:dyDescent="0.25">
      <c r="A96" t="s">
        <v>27</v>
      </c>
      <c r="B96" t="s">
        <v>910</v>
      </c>
      <c r="C96" t="s">
        <v>754</v>
      </c>
      <c r="D96" t="s">
        <v>749</v>
      </c>
    </row>
    <row r="97" spans="1:4" x14ac:dyDescent="0.25">
      <c r="A97" t="s">
        <v>828</v>
      </c>
      <c r="B97" t="s">
        <v>279</v>
      </c>
      <c r="C97" t="s">
        <v>754</v>
      </c>
      <c r="D97" t="s">
        <v>749</v>
      </c>
    </row>
    <row r="98" spans="1:4" x14ac:dyDescent="0.25">
      <c r="A98" t="s">
        <v>829</v>
      </c>
      <c r="B98" t="s">
        <v>278</v>
      </c>
      <c r="C98" t="s">
        <v>754</v>
      </c>
      <c r="D98" t="s">
        <v>749</v>
      </c>
    </row>
    <row r="99" spans="1:4" x14ac:dyDescent="0.25">
      <c r="A99" t="s">
        <v>830</v>
      </c>
      <c r="B99" t="s">
        <v>503</v>
      </c>
      <c r="C99" t="s">
        <v>754</v>
      </c>
      <c r="D99" t="s">
        <v>749</v>
      </c>
    </row>
    <row r="100" spans="1:4" x14ac:dyDescent="0.25">
      <c r="A100" t="s">
        <v>831</v>
      </c>
      <c r="B100" t="s">
        <v>504</v>
      </c>
      <c r="C100" t="s">
        <v>754</v>
      </c>
      <c r="D100" t="s">
        <v>749</v>
      </c>
    </row>
    <row r="101" spans="1:4" x14ac:dyDescent="0.25">
      <c r="A101" t="s">
        <v>832</v>
      </c>
      <c r="B101" t="s">
        <v>505</v>
      </c>
      <c r="C101" t="s">
        <v>754</v>
      </c>
      <c r="D101" t="s">
        <v>749</v>
      </c>
    </row>
    <row r="102" spans="1:4" x14ac:dyDescent="0.25">
      <c r="A102" t="s">
        <v>833</v>
      </c>
      <c r="B102" t="s">
        <v>506</v>
      </c>
      <c r="C102" t="s">
        <v>754</v>
      </c>
      <c r="D102" t="s">
        <v>749</v>
      </c>
    </row>
    <row r="103" spans="1:4" x14ac:dyDescent="0.25">
      <c r="A103" t="s">
        <v>834</v>
      </c>
      <c r="B103" t="s">
        <v>507</v>
      </c>
      <c r="C103" t="s">
        <v>754</v>
      </c>
      <c r="D103" t="s">
        <v>749</v>
      </c>
    </row>
    <row r="104" spans="1:4" x14ac:dyDescent="0.25">
      <c r="A104" t="s">
        <v>835</v>
      </c>
      <c r="B104" t="s">
        <v>508</v>
      </c>
      <c r="C104" t="s">
        <v>754</v>
      </c>
      <c r="D104" t="s">
        <v>749</v>
      </c>
    </row>
    <row r="105" spans="1:4" x14ac:dyDescent="0.25">
      <c r="A105" t="s">
        <v>277</v>
      </c>
      <c r="B105" t="s">
        <v>277</v>
      </c>
      <c r="C105" t="s">
        <v>754</v>
      </c>
      <c r="D105" t="s">
        <v>749</v>
      </c>
    </row>
    <row r="106" spans="1:4" x14ac:dyDescent="0.25">
      <c r="A106" t="s">
        <v>836</v>
      </c>
      <c r="B106" t="s">
        <v>509</v>
      </c>
      <c r="C106" t="s">
        <v>754</v>
      </c>
      <c r="D106" t="s">
        <v>749</v>
      </c>
    </row>
    <row r="107" spans="1:4" x14ac:dyDescent="0.25">
      <c r="A107" t="s">
        <v>837</v>
      </c>
      <c r="B107" t="s">
        <v>510</v>
      </c>
      <c r="C107" t="s">
        <v>754</v>
      </c>
      <c r="D107" t="s">
        <v>749</v>
      </c>
    </row>
    <row r="108" spans="1:4" x14ac:dyDescent="0.25">
      <c r="A108" t="s">
        <v>838</v>
      </c>
      <c r="B108" t="s">
        <v>861</v>
      </c>
      <c r="C108" t="s">
        <v>754</v>
      </c>
      <c r="D108" t="s">
        <v>749</v>
      </c>
    </row>
    <row r="109" spans="1:4" x14ac:dyDescent="0.25">
      <c r="A109" t="s">
        <v>839</v>
      </c>
      <c r="B109" t="s">
        <v>511</v>
      </c>
      <c r="C109" t="s">
        <v>754</v>
      </c>
      <c r="D109" t="s">
        <v>749</v>
      </c>
    </row>
    <row r="110" spans="1:4" x14ac:dyDescent="0.25">
      <c r="A110" t="s">
        <v>858</v>
      </c>
      <c r="B110" t="s">
        <v>512</v>
      </c>
      <c r="C110" t="s">
        <v>754</v>
      </c>
      <c r="D110" t="s">
        <v>749</v>
      </c>
    </row>
    <row r="111" spans="1:4" x14ac:dyDescent="0.25">
      <c r="A111" t="s">
        <v>840</v>
      </c>
      <c r="B111" t="s">
        <v>513</v>
      </c>
      <c r="C111" t="s">
        <v>754</v>
      </c>
      <c r="D111" t="s">
        <v>749</v>
      </c>
    </row>
    <row r="112" spans="1:4" x14ac:dyDescent="0.25">
      <c r="A112" t="s">
        <v>841</v>
      </c>
      <c r="B112" t="s">
        <v>514</v>
      </c>
      <c r="C112" t="s">
        <v>754</v>
      </c>
      <c r="D112" t="s">
        <v>749</v>
      </c>
    </row>
    <row r="113" spans="1:4" x14ac:dyDescent="0.25">
      <c r="A113" t="s">
        <v>842</v>
      </c>
      <c r="B113" t="s">
        <v>860</v>
      </c>
      <c r="C113" t="s">
        <v>754</v>
      </c>
      <c r="D113" t="s">
        <v>749</v>
      </c>
    </row>
    <row r="114" spans="1:4" x14ac:dyDescent="0.25">
      <c r="A114" t="s">
        <v>843</v>
      </c>
      <c r="B114" t="s">
        <v>515</v>
      </c>
      <c r="C114" t="s">
        <v>754</v>
      </c>
      <c r="D114" t="s">
        <v>749</v>
      </c>
    </row>
    <row r="115" spans="1:4" x14ac:dyDescent="0.25">
      <c r="A115" t="s">
        <v>785</v>
      </c>
      <c r="B115" t="s">
        <v>864</v>
      </c>
      <c r="C115" t="s">
        <v>754</v>
      </c>
      <c r="D115" t="s">
        <v>749</v>
      </c>
    </row>
    <row r="116" spans="1:4" x14ac:dyDescent="0.25">
      <c r="A116" t="s">
        <v>844</v>
      </c>
      <c r="B116" t="s">
        <v>274</v>
      </c>
      <c r="C116" t="s">
        <v>754</v>
      </c>
      <c r="D116" t="s">
        <v>749</v>
      </c>
    </row>
    <row r="117" spans="1:4" x14ac:dyDescent="0.25">
      <c r="A117" t="s">
        <v>845</v>
      </c>
      <c r="B117" t="s">
        <v>517</v>
      </c>
      <c r="C117" t="s">
        <v>754</v>
      </c>
      <c r="D117" t="s">
        <v>749</v>
      </c>
    </row>
    <row r="118" spans="1:4" x14ac:dyDescent="0.25">
      <c r="A118" t="s">
        <v>846</v>
      </c>
      <c r="B118" t="s">
        <v>518</v>
      </c>
      <c r="C118" t="s">
        <v>754</v>
      </c>
      <c r="D118" t="s">
        <v>749</v>
      </c>
    </row>
    <row r="119" spans="1:4" x14ac:dyDescent="0.25">
      <c r="A119" t="s">
        <v>847</v>
      </c>
      <c r="B119" t="s">
        <v>519</v>
      </c>
      <c r="C119" t="s">
        <v>754</v>
      </c>
      <c r="D119" t="s">
        <v>749</v>
      </c>
    </row>
    <row r="120" spans="1:4" x14ac:dyDescent="0.25">
      <c r="A120" t="s">
        <v>848</v>
      </c>
      <c r="B120" t="s">
        <v>520</v>
      </c>
      <c r="C120" t="s">
        <v>754</v>
      </c>
      <c r="D120" t="s">
        <v>749</v>
      </c>
    </row>
    <row r="121" spans="1:4" x14ac:dyDescent="0.25">
      <c r="A121" t="s">
        <v>849</v>
      </c>
      <c r="B121" t="s">
        <v>859</v>
      </c>
      <c r="C121" t="s">
        <v>754</v>
      </c>
      <c r="D121" t="s">
        <v>749</v>
      </c>
    </row>
    <row r="122" spans="1:4" x14ac:dyDescent="0.25">
      <c r="A122" t="s">
        <v>850</v>
      </c>
      <c r="B122" t="str">
        <f>'Governmental Fund Balance Sheet'!G53</f>
        <v>Non-Spendable</v>
      </c>
      <c r="C122" t="s">
        <v>754</v>
      </c>
      <c r="D122" t="s">
        <v>749</v>
      </c>
    </row>
    <row r="123" spans="1:4" x14ac:dyDescent="0.25">
      <c r="A123" t="s">
        <v>216</v>
      </c>
      <c r="B123" t="str">
        <f>'Governmental Fund Balance Sheet'!G54</f>
        <v>Restricted</v>
      </c>
      <c r="C123" t="s">
        <v>754</v>
      </c>
      <c r="D123" t="s">
        <v>749</v>
      </c>
    </row>
    <row r="124" spans="1:4" x14ac:dyDescent="0.25">
      <c r="A124" t="s">
        <v>522</v>
      </c>
      <c r="B124" t="str">
        <f>'Governmental Fund Balance Sheet'!G55</f>
        <v>Committed</v>
      </c>
      <c r="C124" t="s">
        <v>754</v>
      </c>
      <c r="D124" t="s">
        <v>749</v>
      </c>
    </row>
    <row r="125" spans="1:4" x14ac:dyDescent="0.25">
      <c r="A125" t="s">
        <v>272</v>
      </c>
      <c r="B125" t="str">
        <f>'Governmental Fund Balance Sheet'!G56</f>
        <v>Assigned</v>
      </c>
      <c r="C125" t="s">
        <v>754</v>
      </c>
      <c r="D125" t="s">
        <v>749</v>
      </c>
    </row>
    <row r="126" spans="1:4" x14ac:dyDescent="0.25">
      <c r="A126" t="s">
        <v>271</v>
      </c>
      <c r="B126" t="str">
        <f>'Governmental Fund Balance Sheet'!G57</f>
        <v>Unassigned</v>
      </c>
      <c r="C126" t="s">
        <v>754</v>
      </c>
      <c r="D126" t="s">
        <v>749</v>
      </c>
    </row>
    <row r="127" spans="1:4" x14ac:dyDescent="0.25">
      <c r="A127" t="s">
        <v>851</v>
      </c>
      <c r="B127" t="str">
        <f>'Governmental Fund Balance Sheet'!G58</f>
        <v>Total fund balances</v>
      </c>
      <c r="C127" t="s">
        <v>754</v>
      </c>
      <c r="D127" t="s">
        <v>749</v>
      </c>
    </row>
    <row r="128" spans="1:4" x14ac:dyDescent="0.25">
      <c r="A128" t="s">
        <v>852</v>
      </c>
      <c r="B128" t="str">
        <f>'Governmental Fund Balance Sheet'!G59</f>
        <v>Total liabilities, deferred inflows and fund balances</v>
      </c>
      <c r="C128" t="s">
        <v>754</v>
      </c>
      <c r="D128" t="s">
        <v>749</v>
      </c>
    </row>
    <row r="129" spans="1:5" x14ac:dyDescent="0.25">
      <c r="A129" t="s">
        <v>853</v>
      </c>
      <c r="B129" t="s">
        <v>854</v>
      </c>
      <c r="C129" t="s">
        <v>744</v>
      </c>
      <c r="D129" t="s">
        <v>745</v>
      </c>
    </row>
    <row r="130" spans="1:5" ht="18.75" x14ac:dyDescent="0.3">
      <c r="A130" s="354" t="s">
        <v>759</v>
      </c>
      <c r="B130" s="354"/>
      <c r="C130" s="354"/>
      <c r="D130" s="354"/>
      <c r="E130" s="354"/>
    </row>
    <row r="131" spans="1:5" x14ac:dyDescent="0.25">
      <c r="A131" t="s">
        <v>865</v>
      </c>
      <c r="B131" t="s">
        <v>7</v>
      </c>
      <c r="C131" t="s">
        <v>754</v>
      </c>
      <c r="D131" t="s">
        <v>745</v>
      </c>
    </row>
    <row r="132" spans="1:5" x14ac:dyDescent="0.25">
      <c r="A132" t="s">
        <v>866</v>
      </c>
      <c r="B132" t="s">
        <v>907</v>
      </c>
      <c r="C132" t="s">
        <v>754</v>
      </c>
      <c r="D132" t="s">
        <v>745</v>
      </c>
    </row>
    <row r="133" spans="1:5" x14ac:dyDescent="0.25">
      <c r="A133" t="s">
        <v>867</v>
      </c>
      <c r="B133" t="s">
        <v>9</v>
      </c>
      <c r="C133" t="s">
        <v>754</v>
      </c>
      <c r="D133" t="s">
        <v>745</v>
      </c>
    </row>
    <row r="134" spans="1:5" x14ac:dyDescent="0.25">
      <c r="A134" t="s">
        <v>868</v>
      </c>
      <c r="B134" t="s">
        <v>10</v>
      </c>
      <c r="C134" t="s">
        <v>754</v>
      </c>
      <c r="D134" t="s">
        <v>745</v>
      </c>
    </row>
    <row r="135" spans="1:5" x14ac:dyDescent="0.25">
      <c r="A135" t="s">
        <v>869</v>
      </c>
      <c r="B135" t="s">
        <v>11</v>
      </c>
      <c r="C135" t="s">
        <v>754</v>
      </c>
      <c r="D135" t="s">
        <v>745</v>
      </c>
    </row>
    <row r="136" spans="1:5" x14ac:dyDescent="0.25">
      <c r="A136" t="s">
        <v>870</v>
      </c>
      <c r="B136" t="s">
        <v>12</v>
      </c>
      <c r="C136" t="s">
        <v>754</v>
      </c>
      <c r="D136" t="s">
        <v>745</v>
      </c>
    </row>
    <row r="137" spans="1:5" x14ac:dyDescent="0.25">
      <c r="A137" t="s">
        <v>871</v>
      </c>
      <c r="B137" t="s">
        <v>367</v>
      </c>
      <c r="C137" t="s">
        <v>754</v>
      </c>
      <c r="D137" t="s">
        <v>745</v>
      </c>
    </row>
    <row r="138" spans="1:5" x14ac:dyDescent="0.25">
      <c r="A138" t="s">
        <v>872</v>
      </c>
      <c r="B138" t="s">
        <v>15</v>
      </c>
      <c r="C138" t="s">
        <v>754</v>
      </c>
      <c r="D138" t="s">
        <v>745</v>
      </c>
    </row>
    <row r="139" spans="1:5" x14ac:dyDescent="0.25">
      <c r="A139" t="s">
        <v>873</v>
      </c>
      <c r="B139" t="s">
        <v>16</v>
      </c>
      <c r="C139" t="s">
        <v>754</v>
      </c>
      <c r="D139" t="s">
        <v>745</v>
      </c>
    </row>
    <row r="140" spans="1:5" x14ac:dyDescent="0.25">
      <c r="A140" t="s">
        <v>874</v>
      </c>
      <c r="B140" t="s">
        <v>17</v>
      </c>
      <c r="C140" t="s">
        <v>754</v>
      </c>
      <c r="D140" t="s">
        <v>745</v>
      </c>
    </row>
    <row r="141" spans="1:5" x14ac:dyDescent="0.25">
      <c r="A141" t="s">
        <v>875</v>
      </c>
      <c r="B141" t="s">
        <v>523</v>
      </c>
      <c r="C141" t="s">
        <v>754</v>
      </c>
      <c r="D141" t="s">
        <v>745</v>
      </c>
    </row>
    <row r="142" spans="1:5" x14ac:dyDescent="0.25">
      <c r="A142" t="s">
        <v>876</v>
      </c>
      <c r="B142" t="s">
        <v>19</v>
      </c>
      <c r="C142" t="s">
        <v>754</v>
      </c>
      <c r="D142" t="s">
        <v>745</v>
      </c>
    </row>
    <row r="143" spans="1:5" x14ac:dyDescent="0.25">
      <c r="A143" t="s">
        <v>877</v>
      </c>
      <c r="B143" t="s">
        <v>524</v>
      </c>
      <c r="C143" t="s">
        <v>754</v>
      </c>
      <c r="D143" t="s">
        <v>745</v>
      </c>
    </row>
    <row r="144" spans="1:5" x14ac:dyDescent="0.25">
      <c r="A144" t="s">
        <v>878</v>
      </c>
      <c r="B144" t="s">
        <v>60</v>
      </c>
      <c r="C144" t="s">
        <v>754</v>
      </c>
      <c r="D144" t="s">
        <v>745</v>
      </c>
    </row>
    <row r="145" spans="1:4" x14ac:dyDescent="0.25">
      <c r="A145" t="s">
        <v>879</v>
      </c>
      <c r="B145" t="s">
        <v>525</v>
      </c>
      <c r="C145" t="s">
        <v>754</v>
      </c>
      <c r="D145" t="s">
        <v>745</v>
      </c>
    </row>
    <row r="146" spans="1:4" x14ac:dyDescent="0.25">
      <c r="A146" t="s">
        <v>880</v>
      </c>
      <c r="B146" t="s">
        <v>526</v>
      </c>
      <c r="C146" t="s">
        <v>754</v>
      </c>
      <c r="D146" t="s">
        <v>745</v>
      </c>
    </row>
    <row r="147" spans="1:4" x14ac:dyDescent="0.25">
      <c r="A147" t="s">
        <v>881</v>
      </c>
      <c r="B147" t="s">
        <v>908</v>
      </c>
      <c r="C147" t="s">
        <v>754</v>
      </c>
      <c r="D147" t="s">
        <v>745</v>
      </c>
    </row>
    <row r="148" spans="1:4" x14ac:dyDescent="0.25">
      <c r="A148" t="s">
        <v>23</v>
      </c>
      <c r="B148" t="s">
        <v>23</v>
      </c>
      <c r="C148" t="s">
        <v>754</v>
      </c>
      <c r="D148" t="s">
        <v>745</v>
      </c>
    </row>
    <row r="149" spans="1:4" x14ac:dyDescent="0.25">
      <c r="A149" t="s">
        <v>882</v>
      </c>
      <c r="B149" t="s">
        <v>527</v>
      </c>
      <c r="C149" t="s">
        <v>754</v>
      </c>
      <c r="D149" t="s">
        <v>745</v>
      </c>
    </row>
    <row r="150" spans="1:4" x14ac:dyDescent="0.25">
      <c r="A150" t="s">
        <v>26</v>
      </c>
      <c r="B150" t="s">
        <v>26</v>
      </c>
      <c r="C150" t="s">
        <v>754</v>
      </c>
      <c r="D150" t="s">
        <v>745</v>
      </c>
    </row>
    <row r="151" spans="1:4" x14ac:dyDescent="0.25">
      <c r="A151" t="s">
        <v>883</v>
      </c>
      <c r="B151" t="s">
        <v>27</v>
      </c>
      <c r="C151" t="s">
        <v>754</v>
      </c>
      <c r="D151" t="s">
        <v>745</v>
      </c>
    </row>
    <row r="152" spans="1:4" x14ac:dyDescent="0.25">
      <c r="A152" t="s">
        <v>884</v>
      </c>
      <c r="B152" t="s">
        <v>28</v>
      </c>
      <c r="C152" t="s">
        <v>754</v>
      </c>
      <c r="D152" t="s">
        <v>745</v>
      </c>
    </row>
    <row r="153" spans="1:4" x14ac:dyDescent="0.25">
      <c r="A153" t="s">
        <v>885</v>
      </c>
      <c r="B153" t="s">
        <v>529</v>
      </c>
      <c r="C153" t="s">
        <v>754</v>
      </c>
      <c r="D153" t="s">
        <v>745</v>
      </c>
    </row>
    <row r="154" spans="1:4" x14ac:dyDescent="0.25">
      <c r="A154" t="s">
        <v>29</v>
      </c>
      <c r="B154" t="s">
        <v>564</v>
      </c>
      <c r="C154" t="s">
        <v>754</v>
      </c>
      <c r="D154" t="s">
        <v>745</v>
      </c>
    </row>
    <row r="155" spans="1:4" x14ac:dyDescent="0.25">
      <c r="A155" t="s">
        <v>886</v>
      </c>
      <c r="B155" t="s">
        <v>530</v>
      </c>
      <c r="C155" t="s">
        <v>754</v>
      </c>
      <c r="D155" t="s">
        <v>745</v>
      </c>
    </row>
    <row r="156" spans="1:4" x14ac:dyDescent="0.25">
      <c r="A156" t="s">
        <v>1841</v>
      </c>
      <c r="B156" t="s">
        <v>531</v>
      </c>
      <c r="C156" t="s">
        <v>754</v>
      </c>
      <c r="D156" t="s">
        <v>745</v>
      </c>
    </row>
    <row r="157" spans="1:4" x14ac:dyDescent="0.25">
      <c r="A157" t="s">
        <v>887</v>
      </c>
      <c r="B157" t="s">
        <v>533</v>
      </c>
      <c r="C157" t="s">
        <v>754</v>
      </c>
      <c r="D157" t="s">
        <v>745</v>
      </c>
    </row>
    <row r="158" spans="1:4" x14ac:dyDescent="0.25">
      <c r="A158" t="s">
        <v>888</v>
      </c>
      <c r="B158" t="s">
        <v>370</v>
      </c>
      <c r="C158" t="s">
        <v>754</v>
      </c>
      <c r="D158" t="s">
        <v>745</v>
      </c>
    </row>
    <row r="159" spans="1:4" x14ac:dyDescent="0.25">
      <c r="A159" t="s">
        <v>889</v>
      </c>
      <c r="B159" t="s">
        <v>215</v>
      </c>
      <c r="C159" t="s">
        <v>754</v>
      </c>
      <c r="D159" t="s">
        <v>745</v>
      </c>
    </row>
    <row r="160" spans="1:4" x14ac:dyDescent="0.25">
      <c r="A160" t="s">
        <v>37</v>
      </c>
      <c r="B160" t="s">
        <v>37</v>
      </c>
      <c r="C160" t="s">
        <v>754</v>
      </c>
      <c r="D160" t="s">
        <v>745</v>
      </c>
    </row>
    <row r="161" spans="1:4" x14ac:dyDescent="0.25">
      <c r="A161" t="s">
        <v>890</v>
      </c>
      <c r="B161" t="s">
        <v>38</v>
      </c>
      <c r="C161" t="s">
        <v>754</v>
      </c>
      <c r="D161" t="s">
        <v>745</v>
      </c>
    </row>
    <row r="162" spans="1:4" x14ac:dyDescent="0.25">
      <c r="A162" t="s">
        <v>891</v>
      </c>
      <c r="B162" t="s">
        <v>534</v>
      </c>
      <c r="C162" t="s">
        <v>754</v>
      </c>
      <c r="D162" t="s">
        <v>745</v>
      </c>
    </row>
    <row r="163" spans="1:4" x14ac:dyDescent="0.25">
      <c r="A163" t="s">
        <v>892</v>
      </c>
      <c r="B163" t="s">
        <v>371</v>
      </c>
      <c r="C163" t="s">
        <v>754</v>
      </c>
      <c r="D163" t="s">
        <v>745</v>
      </c>
    </row>
    <row r="164" spans="1:4" x14ac:dyDescent="0.25">
      <c r="A164" t="s">
        <v>1840</v>
      </c>
      <c r="B164" t="s">
        <v>535</v>
      </c>
      <c r="C164" t="s">
        <v>754</v>
      </c>
      <c r="D164" t="s">
        <v>745</v>
      </c>
    </row>
    <row r="165" spans="1:4" x14ac:dyDescent="0.25">
      <c r="A165" t="s">
        <v>894</v>
      </c>
      <c r="B165" t="s">
        <v>565</v>
      </c>
      <c r="C165" t="s">
        <v>754</v>
      </c>
      <c r="D165" t="s">
        <v>745</v>
      </c>
    </row>
    <row r="166" spans="1:4" x14ac:dyDescent="0.25">
      <c r="A166" t="s">
        <v>895</v>
      </c>
      <c r="B166" t="s">
        <v>566</v>
      </c>
      <c r="C166" t="s">
        <v>754</v>
      </c>
      <c r="D166" t="s">
        <v>745</v>
      </c>
    </row>
    <row r="167" spans="1:4" x14ac:dyDescent="0.25">
      <c r="A167" t="s">
        <v>896</v>
      </c>
      <c r="B167" t="s">
        <v>567</v>
      </c>
      <c r="C167" t="s">
        <v>754</v>
      </c>
      <c r="D167" t="s">
        <v>745</v>
      </c>
    </row>
    <row r="168" spans="1:4" x14ac:dyDescent="0.25">
      <c r="A168" t="s">
        <v>897</v>
      </c>
      <c r="B168" t="s">
        <v>155</v>
      </c>
      <c r="C168" t="s">
        <v>754</v>
      </c>
      <c r="D168" t="s">
        <v>745</v>
      </c>
    </row>
    <row r="169" spans="1:4" x14ac:dyDescent="0.25">
      <c r="A169" t="s">
        <v>898</v>
      </c>
      <c r="B169" t="s">
        <v>536</v>
      </c>
      <c r="C169" t="s">
        <v>754</v>
      </c>
      <c r="D169" t="s">
        <v>745</v>
      </c>
    </row>
    <row r="170" spans="1:4" x14ac:dyDescent="0.25">
      <c r="A170" t="s">
        <v>32</v>
      </c>
      <c r="B170" t="s">
        <v>42</v>
      </c>
      <c r="C170" t="s">
        <v>754</v>
      </c>
      <c r="D170" t="s">
        <v>745</v>
      </c>
    </row>
    <row r="171" spans="1:4" x14ac:dyDescent="0.25">
      <c r="A171" t="s">
        <v>899</v>
      </c>
      <c r="B171" t="s">
        <v>537</v>
      </c>
      <c r="C171" t="s">
        <v>754</v>
      </c>
      <c r="D171" t="s">
        <v>745</v>
      </c>
    </row>
    <row r="172" spans="1:4" x14ac:dyDescent="0.25">
      <c r="A172" t="s">
        <v>900</v>
      </c>
      <c r="B172" t="s">
        <v>285</v>
      </c>
      <c r="C172" t="s">
        <v>754</v>
      </c>
      <c r="D172" t="s">
        <v>745</v>
      </c>
    </row>
    <row r="173" spans="1:4" x14ac:dyDescent="0.25">
      <c r="A173" t="s">
        <v>901</v>
      </c>
      <c r="B173" t="s">
        <v>284</v>
      </c>
      <c r="C173" t="s">
        <v>754</v>
      </c>
      <c r="D173" t="s">
        <v>745</v>
      </c>
    </row>
    <row r="174" spans="1:4" x14ac:dyDescent="0.25">
      <c r="A174" t="s">
        <v>902</v>
      </c>
      <c r="B174" t="s">
        <v>538</v>
      </c>
      <c r="C174" t="s">
        <v>754</v>
      </c>
      <c r="D174" t="s">
        <v>745</v>
      </c>
    </row>
    <row r="175" spans="1:4" x14ac:dyDescent="0.25">
      <c r="A175" t="s">
        <v>903</v>
      </c>
      <c r="B175" t="s">
        <v>568</v>
      </c>
      <c r="C175" t="s">
        <v>754</v>
      </c>
      <c r="D175" t="s">
        <v>745</v>
      </c>
    </row>
    <row r="176" spans="1:4" x14ac:dyDescent="0.25">
      <c r="A176" t="s">
        <v>904</v>
      </c>
      <c r="B176" t="s">
        <v>569</v>
      </c>
      <c r="C176" t="s">
        <v>754</v>
      </c>
      <c r="D176" t="s">
        <v>745</v>
      </c>
    </row>
    <row r="177" spans="1:5" x14ac:dyDescent="0.25">
      <c r="A177" t="s">
        <v>905</v>
      </c>
      <c r="B177" t="s">
        <v>539</v>
      </c>
      <c r="C177" t="s">
        <v>754</v>
      </c>
      <c r="D177" t="s">
        <v>749</v>
      </c>
    </row>
    <row r="178" spans="1:5" x14ac:dyDescent="0.25">
      <c r="A178" t="s">
        <v>905</v>
      </c>
      <c r="B178" t="s">
        <v>540</v>
      </c>
      <c r="C178" t="s">
        <v>754</v>
      </c>
      <c r="D178" t="s">
        <v>749</v>
      </c>
    </row>
    <row r="179" spans="1:5" ht="18.75" x14ac:dyDescent="0.3">
      <c r="A179" s="354" t="s">
        <v>338</v>
      </c>
      <c r="B179" s="354"/>
      <c r="C179" s="354"/>
      <c r="D179" s="354"/>
      <c r="E179" s="354"/>
    </row>
    <row r="180" spans="1:5" x14ac:dyDescent="0.25">
      <c r="A180" t="s">
        <v>865</v>
      </c>
      <c r="B180" t="s">
        <v>992</v>
      </c>
      <c r="C180" t="s">
        <v>754</v>
      </c>
      <c r="D180" t="s">
        <v>745</v>
      </c>
    </row>
    <row r="181" spans="1:5" x14ac:dyDescent="0.25">
      <c r="A181" t="s">
        <v>866</v>
      </c>
      <c r="B181" t="s">
        <v>993</v>
      </c>
      <c r="C181" t="s">
        <v>754</v>
      </c>
      <c r="D181" t="s">
        <v>745</v>
      </c>
    </row>
    <row r="182" spans="1:5" x14ac:dyDescent="0.25">
      <c r="A182" t="s">
        <v>969</v>
      </c>
      <c r="B182" t="s">
        <v>988</v>
      </c>
      <c r="C182" t="s">
        <v>754</v>
      </c>
      <c r="D182" t="s">
        <v>745</v>
      </c>
    </row>
    <row r="183" spans="1:5" x14ac:dyDescent="0.25">
      <c r="A183" t="s">
        <v>868</v>
      </c>
      <c r="B183" t="s">
        <v>989</v>
      </c>
      <c r="C183" t="s">
        <v>754</v>
      </c>
      <c r="D183" t="s">
        <v>745</v>
      </c>
    </row>
    <row r="184" spans="1:5" x14ac:dyDescent="0.25">
      <c r="A184" t="s">
        <v>869</v>
      </c>
      <c r="B184" t="s">
        <v>990</v>
      </c>
      <c r="C184" t="s">
        <v>754</v>
      </c>
      <c r="D184" t="s">
        <v>745</v>
      </c>
    </row>
    <row r="185" spans="1:5" x14ac:dyDescent="0.25">
      <c r="A185" t="s">
        <v>870</v>
      </c>
      <c r="B185" t="s">
        <v>991</v>
      </c>
      <c r="C185" t="s">
        <v>754</v>
      </c>
      <c r="D185" t="s">
        <v>745</v>
      </c>
    </row>
    <row r="186" spans="1:5" x14ac:dyDescent="0.25">
      <c r="A186" t="s">
        <v>970</v>
      </c>
      <c r="B186" t="s">
        <v>14</v>
      </c>
      <c r="C186" t="s">
        <v>754</v>
      </c>
      <c r="D186" t="s">
        <v>745</v>
      </c>
    </row>
    <row r="187" spans="1:5" x14ac:dyDescent="0.25">
      <c r="A187" t="s">
        <v>872</v>
      </c>
      <c r="B187" t="s">
        <v>994</v>
      </c>
      <c r="C187" t="s">
        <v>754</v>
      </c>
      <c r="D187" t="s">
        <v>745</v>
      </c>
    </row>
    <row r="188" spans="1:5" x14ac:dyDescent="0.25">
      <c r="A188" t="s">
        <v>873</v>
      </c>
      <c r="B188" t="s">
        <v>995</v>
      </c>
      <c r="C188" t="s">
        <v>754</v>
      </c>
      <c r="D188" t="s">
        <v>745</v>
      </c>
    </row>
    <row r="189" spans="1:5" x14ac:dyDescent="0.25">
      <c r="A189" t="s">
        <v>874</v>
      </c>
      <c r="B189" t="s">
        <v>996</v>
      </c>
      <c r="C189" t="s">
        <v>754</v>
      </c>
      <c r="D189" t="s">
        <v>745</v>
      </c>
    </row>
    <row r="190" spans="1:5" x14ac:dyDescent="0.25">
      <c r="A190" t="s">
        <v>875</v>
      </c>
      <c r="B190" t="s">
        <v>18</v>
      </c>
      <c r="C190" t="s">
        <v>754</v>
      </c>
      <c r="D190" t="s">
        <v>745</v>
      </c>
    </row>
    <row r="191" spans="1:5" x14ac:dyDescent="0.25">
      <c r="A191" t="s">
        <v>876</v>
      </c>
      <c r="B191" t="s">
        <v>997</v>
      </c>
      <c r="C191" t="s">
        <v>754</v>
      </c>
      <c r="D191" t="s">
        <v>745</v>
      </c>
    </row>
    <row r="192" spans="1:5" x14ac:dyDescent="0.25">
      <c r="A192" t="s">
        <v>879</v>
      </c>
      <c r="B192" t="s">
        <v>20</v>
      </c>
      <c r="C192" t="s">
        <v>754</v>
      </c>
      <c r="D192" t="s">
        <v>745</v>
      </c>
    </row>
    <row r="193" spans="1:4" x14ac:dyDescent="0.25">
      <c r="A193" t="s">
        <v>971</v>
      </c>
      <c r="B193" t="s">
        <v>21</v>
      </c>
      <c r="C193" t="s">
        <v>754</v>
      </c>
      <c r="D193" t="s">
        <v>745</v>
      </c>
    </row>
    <row r="194" spans="1:4" x14ac:dyDescent="0.25">
      <c r="A194" t="s">
        <v>881</v>
      </c>
      <c r="B194" t="s">
        <v>998</v>
      </c>
      <c r="C194" t="s">
        <v>754</v>
      </c>
      <c r="D194" t="s">
        <v>745</v>
      </c>
    </row>
    <row r="195" spans="1:4" x14ac:dyDescent="0.25">
      <c r="A195" t="s">
        <v>23</v>
      </c>
      <c r="B195" t="s">
        <v>999</v>
      </c>
      <c r="C195" t="s">
        <v>754</v>
      </c>
      <c r="D195" t="s">
        <v>745</v>
      </c>
    </row>
    <row r="196" spans="1:4" x14ac:dyDescent="0.25">
      <c r="A196" t="s">
        <v>972</v>
      </c>
      <c r="B196" t="s">
        <v>24</v>
      </c>
      <c r="C196" t="s">
        <v>754</v>
      </c>
      <c r="D196" t="s">
        <v>745</v>
      </c>
    </row>
    <row r="197" spans="1:4" x14ac:dyDescent="0.25">
      <c r="A197" t="s">
        <v>26</v>
      </c>
      <c r="B197" t="s">
        <v>1000</v>
      </c>
      <c r="C197" t="s">
        <v>754</v>
      </c>
      <c r="D197" t="s">
        <v>745</v>
      </c>
    </row>
    <row r="198" spans="1:4" x14ac:dyDescent="0.25">
      <c r="A198" t="s">
        <v>973</v>
      </c>
      <c r="B198" t="s">
        <v>1002</v>
      </c>
      <c r="C198" t="s">
        <v>754</v>
      </c>
      <c r="D198" t="s">
        <v>745</v>
      </c>
    </row>
    <row r="199" spans="1:4" x14ac:dyDescent="0.25">
      <c r="A199" t="s">
        <v>884</v>
      </c>
      <c r="B199" t="s">
        <v>1001</v>
      </c>
      <c r="C199" t="s">
        <v>754</v>
      </c>
      <c r="D199" t="s">
        <v>745</v>
      </c>
    </row>
    <row r="200" spans="1:4" x14ac:dyDescent="0.25">
      <c r="A200" t="s">
        <v>29</v>
      </c>
      <c r="B200" t="s">
        <v>29</v>
      </c>
      <c r="C200" t="s">
        <v>754</v>
      </c>
      <c r="D200" t="s">
        <v>745</v>
      </c>
    </row>
    <row r="201" spans="1:4" x14ac:dyDescent="0.25">
      <c r="A201" t="s">
        <v>974</v>
      </c>
      <c r="B201" t="s">
        <v>30</v>
      </c>
      <c r="C201" t="s">
        <v>754</v>
      </c>
      <c r="D201" t="s">
        <v>745</v>
      </c>
    </row>
    <row r="202" spans="1:4" x14ac:dyDescent="0.25">
      <c r="A202" t="s">
        <v>975</v>
      </c>
      <c r="B202" t="s">
        <v>31</v>
      </c>
      <c r="C202" t="s">
        <v>754</v>
      </c>
      <c r="D202" t="s">
        <v>745</v>
      </c>
    </row>
    <row r="203" spans="1:4" x14ac:dyDescent="0.25">
      <c r="A203" t="s">
        <v>976</v>
      </c>
      <c r="B203" t="s">
        <v>33</v>
      </c>
      <c r="C203" t="s">
        <v>754</v>
      </c>
      <c r="D203" t="s">
        <v>745</v>
      </c>
    </row>
    <row r="204" spans="1:4" x14ac:dyDescent="0.25">
      <c r="A204" t="s">
        <v>977</v>
      </c>
      <c r="B204" t="s">
        <v>34</v>
      </c>
      <c r="C204" t="s">
        <v>754</v>
      </c>
      <c r="D204" t="s">
        <v>745</v>
      </c>
    </row>
    <row r="205" spans="1:4" x14ac:dyDescent="0.25">
      <c r="A205" t="s">
        <v>978</v>
      </c>
      <c r="B205" t="s">
        <v>35</v>
      </c>
      <c r="C205" t="s">
        <v>754</v>
      </c>
      <c r="D205" t="s">
        <v>745</v>
      </c>
    </row>
    <row r="206" spans="1:4" x14ac:dyDescent="0.25">
      <c r="A206" t="s">
        <v>979</v>
      </c>
      <c r="B206" t="s">
        <v>36</v>
      </c>
      <c r="C206" t="s">
        <v>754</v>
      </c>
      <c r="D206" t="s">
        <v>745</v>
      </c>
    </row>
    <row r="207" spans="1:4" x14ac:dyDescent="0.25">
      <c r="A207" t="s">
        <v>37</v>
      </c>
      <c r="B207" t="s">
        <v>1003</v>
      </c>
      <c r="C207" t="s">
        <v>754</v>
      </c>
      <c r="D207" t="s">
        <v>745</v>
      </c>
    </row>
    <row r="208" spans="1:4" x14ac:dyDescent="0.25">
      <c r="A208" t="s">
        <v>890</v>
      </c>
      <c r="B208" t="s">
        <v>1004</v>
      </c>
      <c r="C208" t="s">
        <v>754</v>
      </c>
      <c r="D208" t="s">
        <v>745</v>
      </c>
    </row>
    <row r="209" spans="1:4" x14ac:dyDescent="0.25">
      <c r="A209" t="s">
        <v>980</v>
      </c>
      <c r="B209" t="s">
        <v>39</v>
      </c>
      <c r="C209" t="s">
        <v>754</v>
      </c>
      <c r="D209" t="s">
        <v>745</v>
      </c>
    </row>
    <row r="210" spans="1:4" x14ac:dyDescent="0.25">
      <c r="A210" t="s">
        <v>981</v>
      </c>
      <c r="B210" t="s">
        <v>40</v>
      </c>
      <c r="C210" t="s">
        <v>754</v>
      </c>
      <c r="D210" t="s">
        <v>745</v>
      </c>
    </row>
    <row r="211" spans="1:4" x14ac:dyDescent="0.25">
      <c r="A211" t="s">
        <v>41</v>
      </c>
      <c r="B211" t="s">
        <v>41</v>
      </c>
      <c r="C211" t="s">
        <v>754</v>
      </c>
      <c r="D211" t="s">
        <v>745</v>
      </c>
    </row>
    <row r="212" spans="1:4" x14ac:dyDescent="0.25">
      <c r="A212" s="613" t="s">
        <v>1839</v>
      </c>
      <c r="B212" s="613" t="s">
        <v>1005</v>
      </c>
      <c r="C212" s="613" t="s">
        <v>754</v>
      </c>
      <c r="D212" t="s">
        <v>745</v>
      </c>
    </row>
    <row r="213" spans="1:4" x14ac:dyDescent="0.25">
      <c r="A213" t="s">
        <v>982</v>
      </c>
      <c r="B213" t="s">
        <v>43</v>
      </c>
      <c r="C213" t="s">
        <v>754</v>
      </c>
      <c r="D213" t="s">
        <v>745</v>
      </c>
    </row>
    <row r="214" spans="1:4" x14ac:dyDescent="0.25">
      <c r="A214" t="s">
        <v>900</v>
      </c>
      <c r="B214" t="s">
        <v>1006</v>
      </c>
      <c r="C214" t="s">
        <v>754</v>
      </c>
      <c r="D214" t="s">
        <v>745</v>
      </c>
    </row>
    <row r="215" spans="1:4" x14ac:dyDescent="0.25">
      <c r="A215" t="s">
        <v>901</v>
      </c>
      <c r="B215" t="s">
        <v>1007</v>
      </c>
      <c r="C215" t="s">
        <v>754</v>
      </c>
      <c r="D215" t="s">
        <v>745</v>
      </c>
    </row>
    <row r="216" spans="1:4" x14ac:dyDescent="0.25">
      <c r="A216" s="613" t="s">
        <v>1838</v>
      </c>
      <c r="B216" s="613" t="s">
        <v>45</v>
      </c>
      <c r="C216" s="613" t="s">
        <v>754</v>
      </c>
      <c r="D216" s="613" t="s">
        <v>745</v>
      </c>
    </row>
    <row r="217" spans="1:4" x14ac:dyDescent="0.25">
      <c r="A217" t="s">
        <v>983</v>
      </c>
      <c r="B217" t="s">
        <v>46</v>
      </c>
      <c r="C217" t="s">
        <v>754</v>
      </c>
      <c r="D217" t="s">
        <v>745</v>
      </c>
    </row>
    <row r="218" spans="1:4" x14ac:dyDescent="0.25">
      <c r="A218" t="s">
        <v>984</v>
      </c>
      <c r="B218" t="s">
        <v>47</v>
      </c>
      <c r="C218" t="s">
        <v>754</v>
      </c>
      <c r="D218" t="s">
        <v>749</v>
      </c>
    </row>
    <row r="219" spans="1:4" x14ac:dyDescent="0.25">
      <c r="A219" t="s">
        <v>985</v>
      </c>
      <c r="B219" t="s">
        <v>48</v>
      </c>
      <c r="C219" t="s">
        <v>754</v>
      </c>
      <c r="D219" t="s">
        <v>749</v>
      </c>
    </row>
    <row r="220" spans="1:4" x14ac:dyDescent="0.25">
      <c r="A220" t="s">
        <v>986</v>
      </c>
      <c r="B220" t="s">
        <v>49</v>
      </c>
      <c r="C220" t="s">
        <v>754</v>
      </c>
      <c r="D220" t="s">
        <v>745</v>
      </c>
    </row>
    <row r="221" spans="1:4" x14ac:dyDescent="0.25">
      <c r="A221" t="s">
        <v>987</v>
      </c>
      <c r="B221" t="s">
        <v>50</v>
      </c>
      <c r="C221" t="s">
        <v>754</v>
      </c>
      <c r="D221" t="s">
        <v>745</v>
      </c>
    </row>
    <row r="222" spans="1:4" x14ac:dyDescent="0.25">
      <c r="A222" t="s">
        <v>984</v>
      </c>
      <c r="B222" t="s">
        <v>51</v>
      </c>
      <c r="C222" t="s">
        <v>754</v>
      </c>
      <c r="D222" t="s">
        <v>749</v>
      </c>
    </row>
    <row r="223" spans="1:4" x14ac:dyDescent="0.25">
      <c r="A223" t="s">
        <v>1008</v>
      </c>
      <c r="B223" t="s">
        <v>53</v>
      </c>
      <c r="C223" t="s">
        <v>754</v>
      </c>
      <c r="D223" t="s">
        <v>749</v>
      </c>
    </row>
    <row r="224" spans="1:4" x14ac:dyDescent="0.25">
      <c r="A224" t="s">
        <v>1009</v>
      </c>
      <c r="B224" t="s">
        <v>54</v>
      </c>
      <c r="C224" t="s">
        <v>754</v>
      </c>
      <c r="D224" t="s">
        <v>745</v>
      </c>
    </row>
    <row r="225" spans="1:5" x14ac:dyDescent="0.25">
      <c r="A225" t="s">
        <v>1010</v>
      </c>
      <c r="B225" t="s">
        <v>55</v>
      </c>
      <c r="C225" t="s">
        <v>754</v>
      </c>
      <c r="D225" t="s">
        <v>745</v>
      </c>
    </row>
    <row r="226" spans="1:5" x14ac:dyDescent="0.25">
      <c r="A226" t="s">
        <v>1011</v>
      </c>
      <c r="B226" t="s">
        <v>56</v>
      </c>
      <c r="C226" t="s">
        <v>754</v>
      </c>
      <c r="D226" t="s">
        <v>745</v>
      </c>
    </row>
    <row r="227" spans="1:5" x14ac:dyDescent="0.25">
      <c r="A227" t="s">
        <v>1012</v>
      </c>
      <c r="B227" t="s">
        <v>57</v>
      </c>
      <c r="C227" t="s">
        <v>754</v>
      </c>
      <c r="D227" t="s">
        <v>749</v>
      </c>
    </row>
    <row r="228" spans="1:5" ht="18.75" x14ac:dyDescent="0.3">
      <c r="A228" s="354" t="s">
        <v>373</v>
      </c>
      <c r="B228" s="354"/>
      <c r="C228" s="354"/>
      <c r="D228" s="354"/>
      <c r="E228" s="354"/>
    </row>
    <row r="229" spans="1:5" x14ac:dyDescent="0.25">
      <c r="A229" s="613" t="s">
        <v>1832</v>
      </c>
      <c r="B229" t="s">
        <v>1020</v>
      </c>
      <c r="C229" t="s">
        <v>754</v>
      </c>
      <c r="D229" t="s">
        <v>745</v>
      </c>
    </row>
    <row r="230" spans="1:5" x14ac:dyDescent="0.25">
      <c r="A230" s="613" t="s">
        <v>1833</v>
      </c>
      <c r="B230" t="s">
        <v>61</v>
      </c>
      <c r="C230" t="s">
        <v>754</v>
      </c>
      <c r="D230" t="s">
        <v>745</v>
      </c>
    </row>
    <row r="231" spans="1:5" x14ac:dyDescent="0.25">
      <c r="A231" s="613" t="s">
        <v>1834</v>
      </c>
      <c r="B231" t="s">
        <v>1021</v>
      </c>
      <c r="C231" t="s">
        <v>754</v>
      </c>
      <c r="D231" t="s">
        <v>745</v>
      </c>
    </row>
    <row r="232" spans="1:5" x14ac:dyDescent="0.25">
      <c r="A232" s="613" t="s">
        <v>1835</v>
      </c>
      <c r="B232" t="s">
        <v>1024</v>
      </c>
      <c r="C232" t="s">
        <v>754</v>
      </c>
      <c r="D232" t="s">
        <v>745</v>
      </c>
    </row>
    <row r="233" spans="1:5" x14ac:dyDescent="0.25">
      <c r="A233" s="613" t="s">
        <v>1836</v>
      </c>
      <c r="B233" t="s">
        <v>1025</v>
      </c>
      <c r="C233" t="s">
        <v>754</v>
      </c>
      <c r="D233" t="s">
        <v>745</v>
      </c>
    </row>
    <row r="234" spans="1:5" x14ac:dyDescent="0.25">
      <c r="A234" s="613" t="s">
        <v>1837</v>
      </c>
      <c r="B234" t="s">
        <v>1026</v>
      </c>
      <c r="C234" t="s">
        <v>754</v>
      </c>
      <c r="D234" t="s">
        <v>745</v>
      </c>
    </row>
    <row r="235" spans="1:5" x14ac:dyDescent="0.25">
      <c r="A235" t="s">
        <v>1014</v>
      </c>
      <c r="B235" t="s">
        <v>1027</v>
      </c>
      <c r="C235" t="s">
        <v>754</v>
      </c>
      <c r="D235" t="s">
        <v>745</v>
      </c>
    </row>
    <row r="236" spans="1:5" x14ac:dyDescent="0.25">
      <c r="A236" t="s">
        <v>984</v>
      </c>
      <c r="B236" t="s">
        <v>1028</v>
      </c>
      <c r="C236" t="s">
        <v>754</v>
      </c>
      <c r="D236" t="s">
        <v>749</v>
      </c>
    </row>
    <row r="237" spans="1:5" x14ac:dyDescent="0.25">
      <c r="A237" t="s">
        <v>985</v>
      </c>
      <c r="B237" t="s">
        <v>1029</v>
      </c>
      <c r="C237" t="s">
        <v>754</v>
      </c>
      <c r="D237" t="s">
        <v>749</v>
      </c>
    </row>
    <row r="238" spans="1:5" x14ac:dyDescent="0.25">
      <c r="A238" t="s">
        <v>986</v>
      </c>
      <c r="B238" t="s">
        <v>1030</v>
      </c>
      <c r="C238" t="s">
        <v>754</v>
      </c>
      <c r="D238" t="s">
        <v>745</v>
      </c>
    </row>
    <row r="239" spans="1:5" x14ac:dyDescent="0.25">
      <c r="A239" t="s">
        <v>987</v>
      </c>
      <c r="B239" t="s">
        <v>1031</v>
      </c>
      <c r="C239" t="s">
        <v>754</v>
      </c>
      <c r="D239" t="s">
        <v>745</v>
      </c>
    </row>
    <row r="240" spans="1:5" x14ac:dyDescent="0.25">
      <c r="A240" t="s">
        <v>984</v>
      </c>
      <c r="B240" t="s">
        <v>1032</v>
      </c>
      <c r="C240" t="s">
        <v>754</v>
      </c>
      <c r="D240" t="s">
        <v>749</v>
      </c>
    </row>
    <row r="241" spans="1:5" x14ac:dyDescent="0.25">
      <c r="A241" t="s">
        <v>1015</v>
      </c>
      <c r="B241" t="s">
        <v>1033</v>
      </c>
      <c r="C241" t="s">
        <v>754</v>
      </c>
      <c r="D241" t="s">
        <v>749</v>
      </c>
    </row>
    <row r="242" spans="1:5" x14ac:dyDescent="0.25">
      <c r="A242" t="s">
        <v>1016</v>
      </c>
      <c r="B242" t="s">
        <v>1034</v>
      </c>
      <c r="C242" t="s">
        <v>754</v>
      </c>
      <c r="D242" t="s">
        <v>749</v>
      </c>
    </row>
    <row r="243" spans="1:5" x14ac:dyDescent="0.25">
      <c r="A243" t="s">
        <v>1017</v>
      </c>
      <c r="B243" t="s">
        <v>1035</v>
      </c>
      <c r="C243" t="s">
        <v>754</v>
      </c>
      <c r="D243" t="s">
        <v>749</v>
      </c>
    </row>
    <row r="244" spans="1:5" x14ac:dyDescent="0.25">
      <c r="A244" t="s">
        <v>1018</v>
      </c>
      <c r="B244" t="s">
        <v>1036</v>
      </c>
      <c r="C244" t="s">
        <v>754</v>
      </c>
      <c r="D244" t="s">
        <v>749</v>
      </c>
    </row>
    <row r="245" spans="1:5" x14ac:dyDescent="0.25">
      <c r="A245" t="s">
        <v>1019</v>
      </c>
      <c r="B245" t="s">
        <v>1037</v>
      </c>
      <c r="C245" t="s">
        <v>754</v>
      </c>
      <c r="D245" t="s">
        <v>749</v>
      </c>
    </row>
    <row r="246" spans="1:5" ht="18.75" x14ac:dyDescent="0.3">
      <c r="A246" s="354" t="s">
        <v>374</v>
      </c>
      <c r="B246" s="354"/>
      <c r="C246" s="354"/>
      <c r="D246" s="354"/>
      <c r="E246" s="354"/>
    </row>
    <row r="247" spans="1:5" x14ac:dyDescent="0.25">
      <c r="A247" t="s">
        <v>878</v>
      </c>
      <c r="B247" t="s">
        <v>1044</v>
      </c>
      <c r="C247" t="s">
        <v>754</v>
      </c>
      <c r="D247" t="s">
        <v>745</v>
      </c>
    </row>
    <row r="248" spans="1:5" x14ac:dyDescent="0.25">
      <c r="A248" t="s">
        <v>1013</v>
      </c>
      <c r="B248" t="s">
        <v>1045</v>
      </c>
      <c r="C248" t="s">
        <v>754</v>
      </c>
      <c r="D248" t="s">
        <v>745</v>
      </c>
    </row>
    <row r="249" spans="1:5" x14ac:dyDescent="0.25">
      <c r="A249" t="s">
        <v>6</v>
      </c>
      <c r="B249" t="s">
        <v>1046</v>
      </c>
      <c r="C249" t="s">
        <v>754</v>
      </c>
      <c r="D249" t="s">
        <v>745</v>
      </c>
    </row>
    <row r="250" spans="1:5" x14ac:dyDescent="0.25">
      <c r="A250" t="s">
        <v>900</v>
      </c>
      <c r="B250" t="s">
        <v>1022</v>
      </c>
      <c r="C250" t="s">
        <v>754</v>
      </c>
      <c r="D250" t="s">
        <v>745</v>
      </c>
    </row>
    <row r="251" spans="1:5" x14ac:dyDescent="0.25">
      <c r="A251" t="s">
        <v>901</v>
      </c>
      <c r="B251" t="s">
        <v>1023</v>
      </c>
      <c r="C251" t="s">
        <v>754</v>
      </c>
      <c r="D251" t="s">
        <v>745</v>
      </c>
    </row>
    <row r="252" spans="1:5" x14ac:dyDescent="0.25">
      <c r="A252" t="s">
        <v>1842</v>
      </c>
      <c r="B252" t="s">
        <v>1047</v>
      </c>
      <c r="C252" t="s">
        <v>754</v>
      </c>
      <c r="D252" t="s">
        <v>745</v>
      </c>
    </row>
    <row r="253" spans="1:5" x14ac:dyDescent="0.25">
      <c r="A253" t="s">
        <v>1038</v>
      </c>
      <c r="B253" t="s">
        <v>1048</v>
      </c>
      <c r="C253" t="s">
        <v>754</v>
      </c>
      <c r="D253" t="s">
        <v>745</v>
      </c>
    </row>
    <row r="254" spans="1:5" x14ac:dyDescent="0.25">
      <c r="A254" t="s">
        <v>984</v>
      </c>
      <c r="B254" t="s">
        <v>1049</v>
      </c>
      <c r="C254" t="s">
        <v>754</v>
      </c>
      <c r="D254" t="s">
        <v>749</v>
      </c>
    </row>
    <row r="255" spans="1:5" x14ac:dyDescent="0.25">
      <c r="A255" t="s">
        <v>985</v>
      </c>
      <c r="B255" t="s">
        <v>1050</v>
      </c>
      <c r="C255" t="s">
        <v>754</v>
      </c>
      <c r="D255" t="s">
        <v>749</v>
      </c>
    </row>
    <row r="256" spans="1:5" x14ac:dyDescent="0.25">
      <c r="A256" t="s">
        <v>986</v>
      </c>
      <c r="B256" t="s">
        <v>1051</v>
      </c>
      <c r="C256" t="s">
        <v>754</v>
      </c>
      <c r="D256" t="s">
        <v>745</v>
      </c>
    </row>
    <row r="257" spans="1:5" x14ac:dyDescent="0.25">
      <c r="A257" t="s">
        <v>987</v>
      </c>
      <c r="B257" t="s">
        <v>1052</v>
      </c>
      <c r="C257" t="s">
        <v>754</v>
      </c>
      <c r="D257" t="s">
        <v>745</v>
      </c>
    </row>
    <row r="258" spans="1:5" x14ac:dyDescent="0.25">
      <c r="A258" t="s">
        <v>984</v>
      </c>
      <c r="B258" t="s">
        <v>1053</v>
      </c>
      <c r="C258" t="s">
        <v>754</v>
      </c>
      <c r="D258" t="s">
        <v>749</v>
      </c>
    </row>
    <row r="259" spans="1:5" x14ac:dyDescent="0.25">
      <c r="A259" t="s">
        <v>1039</v>
      </c>
      <c r="B259" t="s">
        <v>1058</v>
      </c>
      <c r="C259" t="s">
        <v>754</v>
      </c>
      <c r="D259" t="s">
        <v>749</v>
      </c>
    </row>
    <row r="260" spans="1:5" x14ac:dyDescent="0.25">
      <c r="A260" t="s">
        <v>1040</v>
      </c>
      <c r="B260" t="s">
        <v>1054</v>
      </c>
      <c r="C260" t="s">
        <v>754</v>
      </c>
      <c r="D260" t="s">
        <v>749</v>
      </c>
    </row>
    <row r="261" spans="1:5" x14ac:dyDescent="0.25">
      <c r="A261" t="s">
        <v>1041</v>
      </c>
      <c r="B261" t="s">
        <v>1055</v>
      </c>
      <c r="C261" t="s">
        <v>754</v>
      </c>
      <c r="D261" t="s">
        <v>749</v>
      </c>
    </row>
    <row r="262" spans="1:5" x14ac:dyDescent="0.25">
      <c r="A262" t="s">
        <v>1042</v>
      </c>
      <c r="B262" t="s">
        <v>1057</v>
      </c>
      <c r="C262" t="s">
        <v>754</v>
      </c>
      <c r="D262" t="s">
        <v>749</v>
      </c>
    </row>
    <row r="263" spans="1:5" x14ac:dyDescent="0.25">
      <c r="A263" t="s">
        <v>1043</v>
      </c>
      <c r="B263" t="s">
        <v>1056</v>
      </c>
      <c r="C263" t="s">
        <v>754</v>
      </c>
      <c r="D263" t="s">
        <v>749</v>
      </c>
    </row>
    <row r="264" spans="1:5" ht="18.75" x14ac:dyDescent="0.3">
      <c r="A264" s="354" t="s">
        <v>372</v>
      </c>
      <c r="B264" s="354"/>
      <c r="C264" s="354"/>
      <c r="D264" s="354"/>
      <c r="E264" s="354"/>
    </row>
    <row r="265" spans="1:5" x14ac:dyDescent="0.25">
      <c r="A265" t="s">
        <v>871</v>
      </c>
      <c r="B265" t="s">
        <v>1074</v>
      </c>
      <c r="C265" t="s">
        <v>754</v>
      </c>
      <c r="D265" t="s">
        <v>745</v>
      </c>
    </row>
    <row r="266" spans="1:5" x14ac:dyDescent="0.25">
      <c r="A266" t="s">
        <v>1013</v>
      </c>
      <c r="B266" t="s">
        <v>1075</v>
      </c>
      <c r="C266" t="s">
        <v>754</v>
      </c>
      <c r="D266" t="s">
        <v>745</v>
      </c>
    </row>
    <row r="267" spans="1:5" x14ac:dyDescent="0.25">
      <c r="A267" t="s">
        <v>23</v>
      </c>
      <c r="B267" t="s">
        <v>1076</v>
      </c>
      <c r="C267" t="s">
        <v>754</v>
      </c>
      <c r="D267" t="s">
        <v>745</v>
      </c>
    </row>
    <row r="268" spans="1:5" x14ac:dyDescent="0.25">
      <c r="A268" t="s">
        <v>1059</v>
      </c>
      <c r="B268" t="s">
        <v>368</v>
      </c>
      <c r="C268" t="s">
        <v>754</v>
      </c>
      <c r="D268" t="s">
        <v>745</v>
      </c>
    </row>
    <row r="269" spans="1:5" x14ac:dyDescent="0.25">
      <c r="A269" t="s">
        <v>29</v>
      </c>
      <c r="B269" t="s">
        <v>1077</v>
      </c>
      <c r="C269" t="s">
        <v>754</v>
      </c>
      <c r="D269" t="s">
        <v>745</v>
      </c>
    </row>
    <row r="270" spans="1:5" x14ac:dyDescent="0.25">
      <c r="A270" t="s">
        <v>1060</v>
      </c>
      <c r="B270" t="s">
        <v>1078</v>
      </c>
      <c r="C270" t="s">
        <v>754</v>
      </c>
      <c r="D270" t="s">
        <v>745</v>
      </c>
    </row>
    <row r="271" spans="1:5" x14ac:dyDescent="0.25">
      <c r="A271" t="s">
        <v>893</v>
      </c>
      <c r="B271" t="s">
        <v>369</v>
      </c>
      <c r="C271" t="s">
        <v>754</v>
      </c>
      <c r="D271" t="s">
        <v>745</v>
      </c>
    </row>
    <row r="272" spans="1:5" x14ac:dyDescent="0.25">
      <c r="A272" t="s">
        <v>888</v>
      </c>
      <c r="B272" t="s">
        <v>1079</v>
      </c>
      <c r="C272" t="s">
        <v>754</v>
      </c>
      <c r="D272" t="s">
        <v>745</v>
      </c>
    </row>
    <row r="273" spans="1:4" x14ac:dyDescent="0.25">
      <c r="A273" t="s">
        <v>889</v>
      </c>
      <c r="B273" t="s">
        <v>1080</v>
      </c>
      <c r="C273" t="s">
        <v>754</v>
      </c>
      <c r="D273" t="s">
        <v>745</v>
      </c>
    </row>
    <row r="274" spans="1:4" x14ac:dyDescent="0.25">
      <c r="A274" t="s">
        <v>892</v>
      </c>
      <c r="B274" t="s">
        <v>1081</v>
      </c>
      <c r="C274" t="s">
        <v>754</v>
      </c>
      <c r="D274" t="s">
        <v>745</v>
      </c>
    </row>
    <row r="275" spans="1:4" x14ac:dyDescent="0.25">
      <c r="A275" t="s">
        <v>1061</v>
      </c>
      <c r="B275" t="s">
        <v>1082</v>
      </c>
      <c r="C275" t="s">
        <v>754</v>
      </c>
      <c r="D275" t="s">
        <v>745</v>
      </c>
    </row>
    <row r="276" spans="1:4" x14ac:dyDescent="0.25">
      <c r="A276" t="s">
        <v>1062</v>
      </c>
      <c r="B276" t="s">
        <v>1083</v>
      </c>
      <c r="C276" t="s">
        <v>754</v>
      </c>
      <c r="D276" t="s">
        <v>745</v>
      </c>
    </row>
    <row r="277" spans="1:4" x14ac:dyDescent="0.25">
      <c r="A277" t="s">
        <v>900</v>
      </c>
      <c r="B277" t="s">
        <v>1084</v>
      </c>
      <c r="C277" t="s">
        <v>754</v>
      </c>
      <c r="D277" t="s">
        <v>745</v>
      </c>
    </row>
    <row r="278" spans="1:4" x14ac:dyDescent="0.25">
      <c r="A278" t="s">
        <v>901</v>
      </c>
      <c r="B278" t="s">
        <v>1085</v>
      </c>
      <c r="C278" t="s">
        <v>754</v>
      </c>
      <c r="D278" t="s">
        <v>745</v>
      </c>
    </row>
    <row r="279" spans="1:4" x14ac:dyDescent="0.25">
      <c r="A279" t="s">
        <v>1063</v>
      </c>
      <c r="B279" t="s">
        <v>1086</v>
      </c>
      <c r="C279" t="s">
        <v>754</v>
      </c>
      <c r="D279" t="s">
        <v>745</v>
      </c>
    </row>
    <row r="280" spans="1:4" x14ac:dyDescent="0.25">
      <c r="A280" t="s">
        <v>1064</v>
      </c>
      <c r="B280" t="s">
        <v>1087</v>
      </c>
      <c r="C280" t="s">
        <v>754</v>
      </c>
      <c r="D280" t="s">
        <v>745</v>
      </c>
    </row>
    <row r="281" spans="1:4" x14ac:dyDescent="0.25">
      <c r="A281" t="s">
        <v>1065</v>
      </c>
      <c r="B281" t="s">
        <v>1088</v>
      </c>
      <c r="C281" t="s">
        <v>754</v>
      </c>
      <c r="D281" t="s">
        <v>749</v>
      </c>
    </row>
    <row r="282" spans="1:4" x14ac:dyDescent="0.25">
      <c r="A282" t="s">
        <v>1066</v>
      </c>
      <c r="B282" t="s">
        <v>1089</v>
      </c>
      <c r="C282" t="s">
        <v>754</v>
      </c>
      <c r="D282" t="s">
        <v>749</v>
      </c>
    </row>
    <row r="283" spans="1:4" x14ac:dyDescent="0.25">
      <c r="A283" t="s">
        <v>1067</v>
      </c>
      <c r="B283" t="s">
        <v>1090</v>
      </c>
      <c r="C283" t="s">
        <v>754</v>
      </c>
      <c r="D283" t="s">
        <v>745</v>
      </c>
    </row>
    <row r="284" spans="1:4" x14ac:dyDescent="0.25">
      <c r="A284" t="s">
        <v>1068</v>
      </c>
      <c r="B284" t="s">
        <v>1091</v>
      </c>
      <c r="C284" t="s">
        <v>754</v>
      </c>
      <c r="D284" t="s">
        <v>745</v>
      </c>
    </row>
    <row r="285" spans="1:4" x14ac:dyDescent="0.25">
      <c r="A285" t="s">
        <v>1065</v>
      </c>
      <c r="B285" t="s">
        <v>1092</v>
      </c>
      <c r="C285" t="s">
        <v>754</v>
      </c>
      <c r="D285" t="s">
        <v>749</v>
      </c>
    </row>
    <row r="286" spans="1:4" x14ac:dyDescent="0.25">
      <c r="A286" t="s">
        <v>1069</v>
      </c>
      <c r="B286" t="s">
        <v>1093</v>
      </c>
      <c r="C286" t="s">
        <v>754</v>
      </c>
      <c r="D286" t="s">
        <v>749</v>
      </c>
    </row>
    <row r="287" spans="1:4" x14ac:dyDescent="0.25">
      <c r="A287" t="s">
        <v>1070</v>
      </c>
      <c r="B287" t="s">
        <v>1094</v>
      </c>
      <c r="C287" t="s">
        <v>754</v>
      </c>
      <c r="D287" t="s">
        <v>749</v>
      </c>
    </row>
    <row r="288" spans="1:4" x14ac:dyDescent="0.25">
      <c r="A288" t="s">
        <v>1071</v>
      </c>
      <c r="B288" t="s">
        <v>1095</v>
      </c>
      <c r="C288" t="s">
        <v>754</v>
      </c>
      <c r="D288" t="s">
        <v>749</v>
      </c>
    </row>
    <row r="289" spans="1:5" x14ac:dyDescent="0.25">
      <c r="A289" t="s">
        <v>1072</v>
      </c>
      <c r="B289" t="s">
        <v>1096</v>
      </c>
      <c r="C289" t="s">
        <v>754</v>
      </c>
      <c r="D289" t="s">
        <v>749</v>
      </c>
    </row>
    <row r="290" spans="1:5" x14ac:dyDescent="0.25">
      <c r="A290" t="s">
        <v>1073</v>
      </c>
      <c r="B290" t="s">
        <v>1097</v>
      </c>
      <c r="C290" t="s">
        <v>754</v>
      </c>
      <c r="D290" t="s">
        <v>749</v>
      </c>
    </row>
    <row r="291" spans="1:5" ht="18.75" x14ac:dyDescent="0.3">
      <c r="A291" s="354" t="s">
        <v>349</v>
      </c>
      <c r="B291" s="354"/>
      <c r="C291" s="354"/>
      <c r="D291" s="354"/>
      <c r="E291" s="354"/>
    </row>
    <row r="292" spans="1:5" x14ac:dyDescent="0.25">
      <c r="A292" t="s">
        <v>906</v>
      </c>
      <c r="B292" s="181" t="s">
        <v>1143</v>
      </c>
      <c r="C292" t="s">
        <v>754</v>
      </c>
      <c r="D292" t="s">
        <v>749</v>
      </c>
    </row>
    <row r="293" spans="1:5" x14ac:dyDescent="0.25">
      <c r="A293" t="s">
        <v>438</v>
      </c>
      <c r="B293" s="181" t="s">
        <v>1144</v>
      </c>
      <c r="C293" t="s">
        <v>754</v>
      </c>
      <c r="D293" t="s">
        <v>749</v>
      </c>
    </row>
    <row r="294" spans="1:5" x14ac:dyDescent="0.25">
      <c r="A294" t="s">
        <v>499</v>
      </c>
      <c r="B294" s="181" t="s">
        <v>690</v>
      </c>
      <c r="C294" t="s">
        <v>754</v>
      </c>
      <c r="D294" t="s">
        <v>749</v>
      </c>
    </row>
    <row r="295" spans="1:5" x14ac:dyDescent="0.25">
      <c r="A295" t="s">
        <v>827</v>
      </c>
      <c r="B295" s="181" t="s">
        <v>1145</v>
      </c>
      <c r="C295" t="s">
        <v>754</v>
      </c>
      <c r="D295" t="s">
        <v>749</v>
      </c>
    </row>
    <row r="296" spans="1:5" x14ac:dyDescent="0.25">
      <c r="A296" t="s">
        <v>1098</v>
      </c>
      <c r="B296" s="181" t="s">
        <v>603</v>
      </c>
      <c r="C296" t="s">
        <v>754</v>
      </c>
      <c r="D296" t="s">
        <v>749</v>
      </c>
    </row>
    <row r="297" spans="1:5" x14ac:dyDescent="0.25">
      <c r="A297" t="s">
        <v>1099</v>
      </c>
      <c r="B297" s="181" t="s">
        <v>604</v>
      </c>
      <c r="C297" t="s">
        <v>754</v>
      </c>
      <c r="D297" t="s">
        <v>749</v>
      </c>
    </row>
    <row r="298" spans="1:5" x14ac:dyDescent="0.25">
      <c r="A298" t="s">
        <v>213</v>
      </c>
      <c r="B298" s="181" t="s">
        <v>213</v>
      </c>
      <c r="C298" t="s">
        <v>754</v>
      </c>
      <c r="D298" t="s">
        <v>749</v>
      </c>
    </row>
    <row r="299" spans="1:5" x14ac:dyDescent="0.25">
      <c r="A299" t="s">
        <v>605</v>
      </c>
      <c r="B299" s="181" t="s">
        <v>605</v>
      </c>
      <c r="C299" t="s">
        <v>754</v>
      </c>
      <c r="D299" t="s">
        <v>749</v>
      </c>
    </row>
    <row r="300" spans="1:5" x14ac:dyDescent="0.25">
      <c r="A300" t="s">
        <v>606</v>
      </c>
      <c r="B300" s="181" t="s">
        <v>606</v>
      </c>
      <c r="C300" t="s">
        <v>754</v>
      </c>
      <c r="D300" t="s">
        <v>749</v>
      </c>
    </row>
    <row r="301" spans="1:5" x14ac:dyDescent="0.25">
      <c r="A301" t="s">
        <v>1100</v>
      </c>
      <c r="B301" s="181" t="s">
        <v>607</v>
      </c>
      <c r="C301" t="s">
        <v>754</v>
      </c>
      <c r="D301" t="s">
        <v>749</v>
      </c>
    </row>
    <row r="302" spans="1:5" x14ac:dyDescent="0.25">
      <c r="A302" t="s">
        <v>320</v>
      </c>
      <c r="B302" s="181" t="s">
        <v>1146</v>
      </c>
      <c r="C302" t="s">
        <v>754</v>
      </c>
      <c r="D302" t="s">
        <v>749</v>
      </c>
    </row>
    <row r="303" spans="1:5" x14ac:dyDescent="0.25">
      <c r="A303" t="s">
        <v>1101</v>
      </c>
      <c r="B303" s="181" t="s">
        <v>608</v>
      </c>
      <c r="C303" t="s">
        <v>754</v>
      </c>
      <c r="D303" t="s">
        <v>749</v>
      </c>
    </row>
    <row r="304" spans="1:5" x14ac:dyDescent="0.25">
      <c r="A304" t="s">
        <v>1102</v>
      </c>
      <c r="B304" s="181" t="s">
        <v>309</v>
      </c>
      <c r="C304" t="s">
        <v>754</v>
      </c>
      <c r="D304" t="s">
        <v>749</v>
      </c>
    </row>
    <row r="305" spans="1:4" x14ac:dyDescent="0.25">
      <c r="A305" t="s">
        <v>1103</v>
      </c>
      <c r="B305" s="181" t="s">
        <v>307</v>
      </c>
      <c r="C305" t="s">
        <v>754</v>
      </c>
      <c r="D305" t="s">
        <v>749</v>
      </c>
    </row>
    <row r="306" spans="1:4" x14ac:dyDescent="0.25">
      <c r="A306" t="s">
        <v>1104</v>
      </c>
      <c r="B306" s="181" t="s">
        <v>306</v>
      </c>
      <c r="C306" t="s">
        <v>754</v>
      </c>
      <c r="D306" t="s">
        <v>749</v>
      </c>
    </row>
    <row r="307" spans="1:4" x14ac:dyDescent="0.25">
      <c r="A307" t="s">
        <v>27</v>
      </c>
      <c r="B307" s="181" t="s">
        <v>609</v>
      </c>
      <c r="C307" t="s">
        <v>754</v>
      </c>
      <c r="D307" t="s">
        <v>749</v>
      </c>
    </row>
    <row r="308" spans="1:4" x14ac:dyDescent="0.25">
      <c r="A308" t="s">
        <v>1105</v>
      </c>
      <c r="B308" s="181" t="s">
        <v>610</v>
      </c>
      <c r="C308" t="s">
        <v>754</v>
      </c>
      <c r="D308" t="s">
        <v>749</v>
      </c>
    </row>
    <row r="309" spans="1:4" x14ac:dyDescent="0.25">
      <c r="A309" t="s">
        <v>232</v>
      </c>
      <c r="B309" s="181" t="s">
        <v>1147</v>
      </c>
      <c r="C309" t="s">
        <v>754</v>
      </c>
      <c r="D309" t="s">
        <v>749</v>
      </c>
    </row>
    <row r="310" spans="1:4" x14ac:dyDescent="0.25">
      <c r="A310" t="s">
        <v>611</v>
      </c>
      <c r="B310" s="181" t="s">
        <v>611</v>
      </c>
      <c r="C310" t="s">
        <v>754</v>
      </c>
      <c r="D310" t="s">
        <v>749</v>
      </c>
    </row>
    <row r="311" spans="1:4" x14ac:dyDescent="0.25">
      <c r="A311" t="s">
        <v>612</v>
      </c>
      <c r="B311" s="181" t="s">
        <v>612</v>
      </c>
      <c r="C311" t="s">
        <v>754</v>
      </c>
      <c r="D311" t="s">
        <v>749</v>
      </c>
    </row>
    <row r="312" spans="1:4" x14ac:dyDescent="0.25">
      <c r="A312" t="s">
        <v>1106</v>
      </c>
      <c r="B312" s="181" t="s">
        <v>1148</v>
      </c>
      <c r="C312" t="s">
        <v>754</v>
      </c>
      <c r="D312" t="s">
        <v>749</v>
      </c>
    </row>
    <row r="313" spans="1:4" x14ac:dyDescent="0.25">
      <c r="A313" t="s">
        <v>1107</v>
      </c>
      <c r="B313" s="181" t="s">
        <v>1149</v>
      </c>
      <c r="C313" t="s">
        <v>754</v>
      </c>
      <c r="D313" t="s">
        <v>749</v>
      </c>
    </row>
    <row r="314" spans="1:4" x14ac:dyDescent="0.25">
      <c r="A314" t="s">
        <v>1108</v>
      </c>
      <c r="B314" s="181" t="s">
        <v>613</v>
      </c>
      <c r="C314" t="s">
        <v>754</v>
      </c>
      <c r="D314" t="s">
        <v>749</v>
      </c>
    </row>
    <row r="315" spans="1:4" x14ac:dyDescent="0.25">
      <c r="A315" t="s">
        <v>1109</v>
      </c>
      <c r="B315" s="181" t="s">
        <v>614</v>
      </c>
      <c r="C315" t="s">
        <v>754</v>
      </c>
      <c r="D315" t="s">
        <v>749</v>
      </c>
    </row>
    <row r="316" spans="1:4" x14ac:dyDescent="0.25">
      <c r="A316" t="s">
        <v>1110</v>
      </c>
      <c r="B316" s="181" t="s">
        <v>615</v>
      </c>
      <c r="C316" t="s">
        <v>754</v>
      </c>
      <c r="D316" t="s">
        <v>749</v>
      </c>
    </row>
    <row r="317" spans="1:4" x14ac:dyDescent="0.25">
      <c r="A317" t="s">
        <v>1111</v>
      </c>
      <c r="B317" s="181" t="s">
        <v>304</v>
      </c>
      <c r="C317" t="s">
        <v>754</v>
      </c>
      <c r="D317" t="s">
        <v>749</v>
      </c>
    </row>
    <row r="318" spans="1:4" x14ac:dyDescent="0.25">
      <c r="A318" t="s">
        <v>1112</v>
      </c>
      <c r="B318" s="181" t="s">
        <v>303</v>
      </c>
      <c r="C318" t="s">
        <v>754</v>
      </c>
      <c r="D318" t="s">
        <v>749</v>
      </c>
    </row>
    <row r="319" spans="1:4" x14ac:dyDescent="0.25">
      <c r="A319" t="s">
        <v>1113</v>
      </c>
      <c r="B319" s="181" t="s">
        <v>1150</v>
      </c>
      <c r="C319" t="s">
        <v>754</v>
      </c>
      <c r="D319" t="s">
        <v>749</v>
      </c>
    </row>
    <row r="320" spans="1:4" x14ac:dyDescent="0.25">
      <c r="A320" t="s">
        <v>1114</v>
      </c>
      <c r="B320" s="181" t="s">
        <v>617</v>
      </c>
      <c r="C320" t="s">
        <v>754</v>
      </c>
      <c r="D320" t="s">
        <v>749</v>
      </c>
    </row>
    <row r="321" spans="1:4" x14ac:dyDescent="0.25">
      <c r="A321" t="s">
        <v>1115</v>
      </c>
      <c r="B321" s="181" t="s">
        <v>618</v>
      </c>
      <c r="C321" t="s">
        <v>754</v>
      </c>
      <c r="D321" t="s">
        <v>749</v>
      </c>
    </row>
    <row r="322" spans="1:4" x14ac:dyDescent="0.25">
      <c r="A322" t="s">
        <v>839</v>
      </c>
      <c r="B322" s="181" t="s">
        <v>1151</v>
      </c>
      <c r="C322" t="s">
        <v>754</v>
      </c>
      <c r="D322" t="s">
        <v>749</v>
      </c>
    </row>
    <row r="323" spans="1:4" x14ac:dyDescent="0.25">
      <c r="A323" t="s">
        <v>858</v>
      </c>
      <c r="B323" s="181" t="s">
        <v>1152</v>
      </c>
      <c r="C323" t="s">
        <v>754</v>
      </c>
      <c r="D323" t="s">
        <v>749</v>
      </c>
    </row>
    <row r="324" spans="1:4" x14ac:dyDescent="0.25">
      <c r="A324" t="s">
        <v>1116</v>
      </c>
      <c r="B324" s="181" t="s">
        <v>619</v>
      </c>
      <c r="C324" t="s">
        <v>754</v>
      </c>
      <c r="D324" t="s">
        <v>749</v>
      </c>
    </row>
    <row r="325" spans="1:4" x14ac:dyDescent="0.25">
      <c r="A325" t="s">
        <v>1117</v>
      </c>
      <c r="B325" s="181" t="s">
        <v>1153</v>
      </c>
      <c r="C325" t="s">
        <v>754</v>
      </c>
      <c r="D325" t="s">
        <v>749</v>
      </c>
    </row>
    <row r="326" spans="1:4" x14ac:dyDescent="0.25">
      <c r="A326" t="s">
        <v>1118</v>
      </c>
      <c r="B326" s="181" t="s">
        <v>1154</v>
      </c>
      <c r="C326" t="s">
        <v>754</v>
      </c>
      <c r="D326" t="s">
        <v>749</v>
      </c>
    </row>
    <row r="327" spans="1:4" x14ac:dyDescent="0.25">
      <c r="A327" t="s">
        <v>783</v>
      </c>
      <c r="B327" s="181" t="s">
        <v>1155</v>
      </c>
      <c r="C327" t="s">
        <v>754</v>
      </c>
      <c r="D327" t="s">
        <v>749</v>
      </c>
    </row>
    <row r="328" spans="1:4" x14ac:dyDescent="0.25">
      <c r="A328" t="s">
        <v>1119</v>
      </c>
      <c r="B328" s="181" t="s">
        <v>620</v>
      </c>
      <c r="C328" t="s">
        <v>754</v>
      </c>
      <c r="D328" t="s">
        <v>749</v>
      </c>
    </row>
    <row r="329" spans="1:4" x14ac:dyDescent="0.25">
      <c r="A329" t="s">
        <v>1120</v>
      </c>
      <c r="B329" s="181" t="s">
        <v>621</v>
      </c>
      <c r="C329" t="s">
        <v>754</v>
      </c>
      <c r="D329" t="s">
        <v>749</v>
      </c>
    </row>
    <row r="330" spans="1:4" x14ac:dyDescent="0.25">
      <c r="A330" t="s">
        <v>1121</v>
      </c>
      <c r="B330" s="181" t="s">
        <v>623</v>
      </c>
      <c r="C330" t="s">
        <v>754</v>
      </c>
      <c r="D330" t="s">
        <v>749</v>
      </c>
    </row>
    <row r="331" spans="1:4" x14ac:dyDescent="0.25">
      <c r="A331" t="s">
        <v>1122</v>
      </c>
      <c r="B331" s="181" t="s">
        <v>1156</v>
      </c>
      <c r="C331" t="s">
        <v>754</v>
      </c>
      <c r="D331" t="s">
        <v>749</v>
      </c>
    </row>
    <row r="332" spans="1:4" x14ac:dyDescent="0.25">
      <c r="A332" t="s">
        <v>1160</v>
      </c>
      <c r="B332" s="181" t="str">
        <f>'Prop Fund Stmt of Net Position'!G64</f>
        <v>Total  Payable From Restricted Assets</v>
      </c>
      <c r="C332" t="s">
        <v>754</v>
      </c>
      <c r="D332" t="s">
        <v>749</v>
      </c>
    </row>
    <row r="333" spans="1:4" x14ac:dyDescent="0.25">
      <c r="A333" t="s">
        <v>1123</v>
      </c>
      <c r="B333" s="181" t="s">
        <v>625</v>
      </c>
      <c r="C333" t="s">
        <v>754</v>
      </c>
      <c r="D333" t="s">
        <v>749</v>
      </c>
    </row>
    <row r="334" spans="1:4" x14ac:dyDescent="0.25">
      <c r="A334" t="s">
        <v>275</v>
      </c>
      <c r="B334" s="181" t="s">
        <v>1157</v>
      </c>
      <c r="C334" t="s">
        <v>754</v>
      </c>
      <c r="D334" t="s">
        <v>749</v>
      </c>
    </row>
    <row r="335" spans="1:4" x14ac:dyDescent="0.25">
      <c r="A335" t="s">
        <v>1124</v>
      </c>
      <c r="B335" s="181" t="s">
        <v>300</v>
      </c>
      <c r="C335" t="s">
        <v>754</v>
      </c>
      <c r="D335" t="s">
        <v>749</v>
      </c>
    </row>
    <row r="336" spans="1:4" x14ac:dyDescent="0.25">
      <c r="A336" t="s">
        <v>1125</v>
      </c>
      <c r="B336" s="181" t="s">
        <v>301</v>
      </c>
      <c r="C336" t="s">
        <v>754</v>
      </c>
      <c r="D336" t="s">
        <v>749</v>
      </c>
    </row>
    <row r="337" spans="1:4" x14ac:dyDescent="0.25">
      <c r="A337" t="s">
        <v>1126</v>
      </c>
      <c r="B337" s="181" t="s">
        <v>627</v>
      </c>
      <c r="C337" t="s">
        <v>754</v>
      </c>
      <c r="D337" t="s">
        <v>749</v>
      </c>
    </row>
    <row r="338" spans="1:4" x14ac:dyDescent="0.25">
      <c r="A338" t="s">
        <v>1127</v>
      </c>
      <c r="B338" s="181" t="s">
        <v>628</v>
      </c>
      <c r="C338" t="s">
        <v>754</v>
      </c>
      <c r="D338" t="s">
        <v>749</v>
      </c>
    </row>
    <row r="339" spans="1:4" x14ac:dyDescent="0.25">
      <c r="A339" t="s">
        <v>1128</v>
      </c>
      <c r="B339" s="181" t="s">
        <v>629</v>
      </c>
      <c r="C339" t="s">
        <v>754</v>
      </c>
      <c r="D339" t="s">
        <v>749</v>
      </c>
    </row>
    <row r="340" spans="1:4" x14ac:dyDescent="0.25">
      <c r="A340" t="s">
        <v>1129</v>
      </c>
      <c r="B340" s="181" t="s">
        <v>630</v>
      </c>
      <c r="C340" t="s">
        <v>754</v>
      </c>
      <c r="D340" t="s">
        <v>749</v>
      </c>
    </row>
    <row r="341" spans="1:4" x14ac:dyDescent="0.25">
      <c r="A341" t="s">
        <v>631</v>
      </c>
      <c r="B341" s="181" t="s">
        <v>631</v>
      </c>
      <c r="C341" t="s">
        <v>754</v>
      </c>
      <c r="D341" t="s">
        <v>749</v>
      </c>
    </row>
    <row r="342" spans="1:4" x14ac:dyDescent="0.25">
      <c r="A342" t="s">
        <v>1130</v>
      </c>
      <c r="B342" s="181" t="s">
        <v>1158</v>
      </c>
      <c r="C342" t="s">
        <v>754</v>
      </c>
      <c r="D342" t="s">
        <v>749</v>
      </c>
    </row>
    <row r="343" spans="1:4" x14ac:dyDescent="0.25">
      <c r="A343" t="s">
        <v>1131</v>
      </c>
      <c r="B343" s="181" t="s">
        <v>632</v>
      </c>
      <c r="C343" t="s">
        <v>754</v>
      </c>
      <c r="D343" t="s">
        <v>749</v>
      </c>
    </row>
    <row r="344" spans="1:4" x14ac:dyDescent="0.25">
      <c r="A344" t="s">
        <v>1132</v>
      </c>
      <c r="B344" s="181" t="s">
        <v>633</v>
      </c>
      <c r="C344" t="s">
        <v>754</v>
      </c>
      <c r="D344" t="s">
        <v>749</v>
      </c>
    </row>
    <row r="345" spans="1:4" x14ac:dyDescent="0.25">
      <c r="A345" t="s">
        <v>1133</v>
      </c>
      <c r="B345" s="181" t="s">
        <v>634</v>
      </c>
      <c r="C345" t="s">
        <v>754</v>
      </c>
      <c r="D345" t="s">
        <v>749</v>
      </c>
    </row>
    <row r="346" spans="1:4" x14ac:dyDescent="0.25">
      <c r="A346" t="s">
        <v>1134</v>
      </c>
      <c r="B346" s="181" t="s">
        <v>635</v>
      </c>
      <c r="C346" t="s">
        <v>754</v>
      </c>
      <c r="D346" t="s">
        <v>749</v>
      </c>
    </row>
    <row r="347" spans="1:4" x14ac:dyDescent="0.25">
      <c r="A347" t="s">
        <v>227</v>
      </c>
      <c r="B347" s="181" t="s">
        <v>298</v>
      </c>
      <c r="C347" t="s">
        <v>754</v>
      </c>
      <c r="D347" t="s">
        <v>749</v>
      </c>
    </row>
    <row r="348" spans="1:4" x14ac:dyDescent="0.25">
      <c r="A348" t="s">
        <v>793</v>
      </c>
      <c r="B348" s="181" t="s">
        <v>636</v>
      </c>
      <c r="C348" t="s">
        <v>754</v>
      </c>
      <c r="D348" t="s">
        <v>749</v>
      </c>
    </row>
    <row r="349" spans="1:4" x14ac:dyDescent="0.25">
      <c r="A349" t="s">
        <v>1135</v>
      </c>
      <c r="B349" s="181" t="s">
        <v>1159</v>
      </c>
      <c r="C349" t="s">
        <v>754</v>
      </c>
      <c r="D349" t="s">
        <v>749</v>
      </c>
    </row>
    <row r="350" spans="1:4" x14ac:dyDescent="0.25">
      <c r="A350" t="s">
        <v>1136</v>
      </c>
      <c r="B350" s="181" t="s">
        <v>296</v>
      </c>
      <c r="C350" t="s">
        <v>754</v>
      </c>
      <c r="D350" t="s">
        <v>749</v>
      </c>
    </row>
    <row r="351" spans="1:4" x14ac:dyDescent="0.25">
      <c r="A351" t="s">
        <v>1137</v>
      </c>
      <c r="B351" s="181" t="s">
        <v>295</v>
      </c>
      <c r="C351" t="s">
        <v>754</v>
      </c>
      <c r="D351" t="s">
        <v>749</v>
      </c>
    </row>
    <row r="352" spans="1:4" x14ac:dyDescent="0.25">
      <c r="A352" t="s">
        <v>1138</v>
      </c>
      <c r="B352" s="181" t="s">
        <v>294</v>
      </c>
      <c r="C352" t="s">
        <v>754</v>
      </c>
      <c r="D352" t="s">
        <v>749</v>
      </c>
    </row>
    <row r="353" spans="1:5" x14ac:dyDescent="0.25">
      <c r="A353" t="s">
        <v>211</v>
      </c>
      <c r="B353" s="181" t="s">
        <v>293</v>
      </c>
      <c r="C353" t="s">
        <v>754</v>
      </c>
      <c r="D353" t="s">
        <v>749</v>
      </c>
    </row>
    <row r="354" spans="1:5" x14ac:dyDescent="0.25">
      <c r="A354" t="s">
        <v>1139</v>
      </c>
      <c r="B354" s="181" t="s">
        <v>292</v>
      </c>
      <c r="C354" t="s">
        <v>754</v>
      </c>
      <c r="D354" t="s">
        <v>749</v>
      </c>
    </row>
    <row r="355" spans="1:5" x14ac:dyDescent="0.25">
      <c r="A355" t="s">
        <v>1140</v>
      </c>
      <c r="B355" s="181"/>
      <c r="C355" t="s">
        <v>754</v>
      </c>
      <c r="D355" t="s">
        <v>749</v>
      </c>
    </row>
    <row r="356" spans="1:5" x14ac:dyDescent="0.25">
      <c r="A356" t="s">
        <v>1141</v>
      </c>
      <c r="B356" s="181" t="s">
        <v>290</v>
      </c>
      <c r="C356" t="s">
        <v>754</v>
      </c>
      <c r="D356" t="s">
        <v>749</v>
      </c>
    </row>
    <row r="357" spans="1:5" x14ac:dyDescent="0.25">
      <c r="A357" t="s">
        <v>1142</v>
      </c>
      <c r="B357" s="181" t="s">
        <v>288</v>
      </c>
      <c r="C357" t="s">
        <v>754</v>
      </c>
      <c r="D357" t="s">
        <v>749</v>
      </c>
    </row>
    <row r="358" spans="1:5" ht="18.75" x14ac:dyDescent="0.3">
      <c r="A358" s="354" t="s">
        <v>350</v>
      </c>
      <c r="B358" s="354"/>
      <c r="C358" s="354"/>
      <c r="D358" s="354"/>
      <c r="E358" s="354"/>
    </row>
    <row r="359" spans="1:5" x14ac:dyDescent="0.25">
      <c r="A359" t="s">
        <v>1161</v>
      </c>
      <c r="B359" s="181" t="s">
        <v>574</v>
      </c>
      <c r="C359" t="s">
        <v>754</v>
      </c>
      <c r="D359" t="s">
        <v>745</v>
      </c>
    </row>
    <row r="360" spans="1:5" x14ac:dyDescent="0.25">
      <c r="A360" t="s">
        <v>1162</v>
      </c>
      <c r="B360" s="181" t="s">
        <v>575</v>
      </c>
      <c r="C360" t="s">
        <v>754</v>
      </c>
      <c r="D360" t="s">
        <v>745</v>
      </c>
    </row>
    <row r="361" spans="1:5" x14ac:dyDescent="0.25">
      <c r="A361" t="s">
        <v>1163</v>
      </c>
      <c r="B361" s="181" t="s">
        <v>576</v>
      </c>
      <c r="C361" t="s">
        <v>754</v>
      </c>
      <c r="D361" t="s">
        <v>745</v>
      </c>
    </row>
    <row r="362" spans="1:5" x14ac:dyDescent="0.25">
      <c r="A362" t="s">
        <v>1164</v>
      </c>
      <c r="B362" s="181" t="s">
        <v>577</v>
      </c>
      <c r="C362" t="s">
        <v>754</v>
      </c>
      <c r="D362" t="s">
        <v>745</v>
      </c>
    </row>
    <row r="363" spans="1:5" x14ac:dyDescent="0.25">
      <c r="A363" t="s">
        <v>868</v>
      </c>
      <c r="B363" s="181" t="s">
        <v>1189</v>
      </c>
      <c r="C363" t="s">
        <v>754</v>
      </c>
      <c r="D363" t="s">
        <v>745</v>
      </c>
    </row>
    <row r="364" spans="1:5" x14ac:dyDescent="0.25">
      <c r="A364" t="s">
        <v>1165</v>
      </c>
      <c r="B364" s="181" t="s">
        <v>578</v>
      </c>
      <c r="C364" t="s">
        <v>754</v>
      </c>
      <c r="D364" t="s">
        <v>745</v>
      </c>
    </row>
    <row r="365" spans="1:5" x14ac:dyDescent="0.25">
      <c r="A365" t="s">
        <v>1166</v>
      </c>
      <c r="B365" s="181" t="s">
        <v>579</v>
      </c>
      <c r="C365" t="s">
        <v>754</v>
      </c>
      <c r="D365" t="s">
        <v>745</v>
      </c>
    </row>
    <row r="366" spans="1:5" x14ac:dyDescent="0.25">
      <c r="A366" t="s">
        <v>1167</v>
      </c>
      <c r="B366" s="181" t="s">
        <v>581</v>
      </c>
      <c r="C366" t="s">
        <v>754</v>
      </c>
      <c r="D366" t="s">
        <v>745</v>
      </c>
    </row>
    <row r="367" spans="1:5" x14ac:dyDescent="0.25">
      <c r="A367" t="s">
        <v>1168</v>
      </c>
      <c r="B367" s="181" t="s">
        <v>582</v>
      </c>
      <c r="C367" t="s">
        <v>754</v>
      </c>
      <c r="D367" t="s">
        <v>745</v>
      </c>
    </row>
    <row r="368" spans="1:5" x14ac:dyDescent="0.25">
      <c r="A368" t="s">
        <v>1169</v>
      </c>
      <c r="B368" s="181" t="s">
        <v>583</v>
      </c>
      <c r="C368" t="s">
        <v>754</v>
      </c>
      <c r="D368" t="s">
        <v>745</v>
      </c>
    </row>
    <row r="369" spans="1:4" x14ac:dyDescent="0.25">
      <c r="A369" t="s">
        <v>557</v>
      </c>
      <c r="B369" s="181" t="s">
        <v>557</v>
      </c>
      <c r="C369" t="s">
        <v>754</v>
      </c>
      <c r="D369" t="s">
        <v>745</v>
      </c>
    </row>
    <row r="370" spans="1:4" x14ac:dyDescent="0.25">
      <c r="A370" t="s">
        <v>1170</v>
      </c>
      <c r="B370" s="181" t="s">
        <v>584</v>
      </c>
      <c r="C370" t="s">
        <v>754</v>
      </c>
      <c r="D370" t="s">
        <v>745</v>
      </c>
    </row>
    <row r="371" spans="1:4" x14ac:dyDescent="0.25">
      <c r="A371" t="s">
        <v>1171</v>
      </c>
      <c r="B371" s="181" t="s">
        <v>596</v>
      </c>
      <c r="C371" t="s">
        <v>754</v>
      </c>
      <c r="D371" t="s">
        <v>745</v>
      </c>
    </row>
    <row r="372" spans="1:4" x14ac:dyDescent="0.25">
      <c r="A372" t="s">
        <v>1172</v>
      </c>
      <c r="B372" s="181" t="s">
        <v>13</v>
      </c>
      <c r="C372" t="s">
        <v>754</v>
      </c>
      <c r="D372" t="s">
        <v>745</v>
      </c>
    </row>
    <row r="373" spans="1:4" x14ac:dyDescent="0.25">
      <c r="A373" t="s">
        <v>881</v>
      </c>
      <c r="B373" s="181" t="s">
        <v>1190</v>
      </c>
      <c r="C373" t="s">
        <v>754</v>
      </c>
      <c r="D373" t="s">
        <v>745</v>
      </c>
    </row>
    <row r="374" spans="1:4" x14ac:dyDescent="0.25">
      <c r="A374" t="s">
        <v>1173</v>
      </c>
      <c r="B374" s="181" t="s">
        <v>586</v>
      </c>
      <c r="C374" t="s">
        <v>754</v>
      </c>
      <c r="D374" t="s">
        <v>745</v>
      </c>
    </row>
    <row r="375" spans="1:4" x14ac:dyDescent="0.25">
      <c r="A375" t="s">
        <v>1174</v>
      </c>
      <c r="B375" s="181" t="s">
        <v>587</v>
      </c>
      <c r="C375" t="s">
        <v>754</v>
      </c>
      <c r="D375" t="s">
        <v>745</v>
      </c>
    </row>
    <row r="376" spans="1:4" x14ac:dyDescent="0.25">
      <c r="A376" t="s">
        <v>1175</v>
      </c>
      <c r="B376" s="181" t="s">
        <v>588</v>
      </c>
      <c r="C376" t="s">
        <v>754</v>
      </c>
      <c r="D376" t="s">
        <v>745</v>
      </c>
    </row>
    <row r="377" spans="1:4" x14ac:dyDescent="0.25">
      <c r="A377" t="s">
        <v>1176</v>
      </c>
      <c r="B377" s="181" t="s">
        <v>589</v>
      </c>
      <c r="C377" t="s">
        <v>754</v>
      </c>
      <c r="D377" t="s">
        <v>745</v>
      </c>
    </row>
    <row r="378" spans="1:4" x14ac:dyDescent="0.25">
      <c r="A378" t="s">
        <v>1177</v>
      </c>
      <c r="B378" s="181" t="s">
        <v>590</v>
      </c>
      <c r="C378" t="s">
        <v>754</v>
      </c>
      <c r="D378" t="s">
        <v>745</v>
      </c>
    </row>
    <row r="379" spans="1:4" x14ac:dyDescent="0.25">
      <c r="A379" t="s">
        <v>1178</v>
      </c>
      <c r="B379" s="181" t="s">
        <v>591</v>
      </c>
      <c r="C379" t="s">
        <v>754</v>
      </c>
      <c r="D379" t="s">
        <v>745</v>
      </c>
    </row>
    <row r="380" spans="1:4" x14ac:dyDescent="0.25">
      <c r="A380" t="s">
        <v>1179</v>
      </c>
      <c r="B380" s="181" t="s">
        <v>592</v>
      </c>
      <c r="C380" t="s">
        <v>754</v>
      </c>
      <c r="D380" t="s">
        <v>745</v>
      </c>
    </row>
    <row r="381" spans="1:4" x14ac:dyDescent="0.25">
      <c r="A381" t="s">
        <v>1180</v>
      </c>
      <c r="B381" s="181" t="s">
        <v>315</v>
      </c>
      <c r="C381" t="s">
        <v>754</v>
      </c>
      <c r="D381" t="s">
        <v>745</v>
      </c>
    </row>
    <row r="382" spans="1:4" x14ac:dyDescent="0.25">
      <c r="A382" t="s">
        <v>1181</v>
      </c>
      <c r="B382" s="181" t="s">
        <v>314</v>
      </c>
      <c r="C382" t="s">
        <v>754</v>
      </c>
      <c r="D382" t="s">
        <v>745</v>
      </c>
    </row>
    <row r="383" spans="1:4" x14ac:dyDescent="0.25">
      <c r="A383" t="s">
        <v>1182</v>
      </c>
      <c r="B383" s="181" t="s">
        <v>313</v>
      </c>
      <c r="C383" t="s">
        <v>754</v>
      </c>
      <c r="D383" t="s">
        <v>745</v>
      </c>
    </row>
    <row r="384" spans="1:4" x14ac:dyDescent="0.25">
      <c r="A384" t="s">
        <v>900</v>
      </c>
      <c r="B384" s="181" t="s">
        <v>1191</v>
      </c>
      <c r="C384" t="s">
        <v>754</v>
      </c>
      <c r="D384" t="s">
        <v>745</v>
      </c>
    </row>
    <row r="385" spans="1:5" x14ac:dyDescent="0.25">
      <c r="A385" t="s">
        <v>901</v>
      </c>
      <c r="B385" s="181" t="s">
        <v>1192</v>
      </c>
      <c r="C385" t="s">
        <v>754</v>
      </c>
      <c r="D385" t="s">
        <v>745</v>
      </c>
    </row>
    <row r="386" spans="1:5" x14ac:dyDescent="0.25">
      <c r="A386" t="s">
        <v>1183</v>
      </c>
      <c r="B386" s="49" t="s">
        <v>595</v>
      </c>
      <c r="C386" t="s">
        <v>754</v>
      </c>
      <c r="D386" t="s">
        <v>745</v>
      </c>
    </row>
    <row r="387" spans="1:5" x14ac:dyDescent="0.25">
      <c r="A387" t="s">
        <v>1184</v>
      </c>
      <c r="B387" s="181" t="s">
        <v>1193</v>
      </c>
      <c r="C387" t="s">
        <v>754</v>
      </c>
      <c r="D387" t="s">
        <v>745</v>
      </c>
    </row>
    <row r="388" spans="1:5" x14ac:dyDescent="0.25">
      <c r="A388" t="s">
        <v>1185</v>
      </c>
      <c r="B388" s="181" t="s">
        <v>1194</v>
      </c>
      <c r="C388" t="s">
        <v>754</v>
      </c>
      <c r="D388" t="s">
        <v>749</v>
      </c>
    </row>
    <row r="389" spans="1:5" x14ac:dyDescent="0.25">
      <c r="A389" t="s">
        <v>1185</v>
      </c>
      <c r="B389" s="49" t="s">
        <v>1195</v>
      </c>
      <c r="C389" t="s">
        <v>754</v>
      </c>
      <c r="D389" t="s">
        <v>749</v>
      </c>
    </row>
    <row r="390" spans="1:5" x14ac:dyDescent="0.25">
      <c r="A390" t="s">
        <v>1186</v>
      </c>
      <c r="B390" s="181" t="s">
        <v>597</v>
      </c>
      <c r="C390" t="s">
        <v>754</v>
      </c>
      <c r="D390" t="s">
        <v>745</v>
      </c>
    </row>
    <row r="391" spans="1:5" x14ac:dyDescent="0.25">
      <c r="A391" t="s">
        <v>1187</v>
      </c>
      <c r="B391" s="181" t="s">
        <v>598</v>
      </c>
      <c r="C391" t="s">
        <v>754</v>
      </c>
      <c r="D391" t="s">
        <v>745</v>
      </c>
    </row>
    <row r="392" spans="1:5" x14ac:dyDescent="0.25">
      <c r="A392" t="s">
        <v>1188</v>
      </c>
      <c r="B392" s="181" t="s">
        <v>599</v>
      </c>
      <c r="C392" t="s">
        <v>754</v>
      </c>
      <c r="D392" t="s">
        <v>745</v>
      </c>
    </row>
    <row r="393" spans="1:5" ht="18.75" x14ac:dyDescent="0.3">
      <c r="A393" s="354" t="s">
        <v>351</v>
      </c>
      <c r="B393" s="354"/>
      <c r="C393" s="354"/>
      <c r="D393" s="354"/>
      <c r="E393" s="354"/>
    </row>
    <row r="394" spans="1:5" x14ac:dyDescent="0.25">
      <c r="A394" t="s">
        <v>1196</v>
      </c>
      <c r="B394" s="181" t="str">
        <f>'Stmt of Cash Flow - Prop Funds'!G14</f>
        <v>Cash received from customers and users</v>
      </c>
      <c r="C394" t="s">
        <v>754</v>
      </c>
      <c r="D394" t="s">
        <v>745</v>
      </c>
    </row>
    <row r="395" spans="1:5" x14ac:dyDescent="0.25">
      <c r="A395" t="s">
        <v>1197</v>
      </c>
      <c r="B395" s="181" t="str">
        <f>'Stmt of Cash Flow - Prop Funds'!G15</f>
        <v>Cash payments for interfund services provided</v>
      </c>
      <c r="C395" t="s">
        <v>754</v>
      </c>
      <c r="D395" t="s">
        <v>745</v>
      </c>
    </row>
    <row r="396" spans="1:5" x14ac:dyDescent="0.25">
      <c r="A396" t="s">
        <v>1198</v>
      </c>
      <c r="B396" s="181" t="str">
        <f>'Stmt of Cash Flow - Prop Funds'!G16</f>
        <v>Cash payments to vendors for goods &amp; services</v>
      </c>
      <c r="C396" t="s">
        <v>754</v>
      </c>
      <c r="D396" t="s">
        <v>745</v>
      </c>
    </row>
    <row r="397" spans="1:5" x14ac:dyDescent="0.25">
      <c r="A397" t="s">
        <v>1199</v>
      </c>
      <c r="B397" s="181" t="str">
        <f>'Stmt of Cash Flow - Prop Funds'!G17</f>
        <v>Cash payments to employees for services</v>
      </c>
      <c r="C397" t="s">
        <v>754</v>
      </c>
      <c r="D397" t="s">
        <v>745</v>
      </c>
    </row>
    <row r="398" spans="1:5" x14ac:dyDescent="0.25">
      <c r="A398" t="s">
        <v>1200</v>
      </c>
      <c r="B398" s="181" t="str">
        <f>'Stmt of Cash Flow - Prop Funds'!G18</f>
        <v>Net cash provided by (used in)  operating activities</v>
      </c>
      <c r="C398" t="s">
        <v>754</v>
      </c>
      <c r="D398" t="s">
        <v>745</v>
      </c>
    </row>
    <row r="399" spans="1:5" x14ac:dyDescent="0.25">
      <c r="A399" t="s">
        <v>1201</v>
      </c>
      <c r="B399" s="181" t="str">
        <f>'Stmt of Cash Flow - Prop Funds'!G20</f>
        <v>Intergovernmental  Revenue</v>
      </c>
      <c r="C399" t="s">
        <v>754</v>
      </c>
      <c r="D399" t="s">
        <v>745</v>
      </c>
    </row>
    <row r="400" spans="1:5" x14ac:dyDescent="0.25">
      <c r="A400" t="s">
        <v>1202</v>
      </c>
      <c r="B400" s="181" t="str">
        <f>'Stmt of Cash Flow - Prop Funds'!G21</f>
        <v>(Payment) Receipt on Interfund Loan</v>
      </c>
      <c r="C400" t="s">
        <v>754</v>
      </c>
      <c r="D400" t="s">
        <v>745</v>
      </c>
    </row>
    <row r="401" spans="1:4" x14ac:dyDescent="0.25">
      <c r="A401" t="s">
        <v>1203</v>
      </c>
      <c r="B401" s="181" t="str">
        <f>'Stmt of Cash Flow - Prop Funds'!G22</f>
        <v>Transfers-in</v>
      </c>
      <c r="C401" t="s">
        <v>754</v>
      </c>
      <c r="D401" t="s">
        <v>745</v>
      </c>
    </row>
    <row r="402" spans="1:4" x14ac:dyDescent="0.25">
      <c r="A402" t="s">
        <v>1204</v>
      </c>
      <c r="B402" s="181" t="str">
        <f>'Stmt of Cash Flow - Prop Funds'!G23</f>
        <v>Transfers-out</v>
      </c>
      <c r="C402" t="s">
        <v>754</v>
      </c>
      <c r="D402" t="s">
        <v>745</v>
      </c>
    </row>
    <row r="403" spans="1:4" x14ac:dyDescent="0.25">
      <c r="A403" t="s">
        <v>1205</v>
      </c>
      <c r="B403" s="181" t="str">
        <f>'Stmt of Cash Flow - Prop Funds'!G24</f>
        <v>Net Cash provided by (used in) non capital financing activities</v>
      </c>
      <c r="C403" t="s">
        <v>754</v>
      </c>
      <c r="D403" t="s">
        <v>745</v>
      </c>
    </row>
    <row r="404" spans="1:4" x14ac:dyDescent="0.25">
      <c r="A404" t="s">
        <v>1206</v>
      </c>
      <c r="B404" s="181" t="str">
        <f>'Stmt of Cash Flow - Prop Funds'!G26</f>
        <v>Proceeds from issuance of debt</v>
      </c>
      <c r="C404" t="s">
        <v>754</v>
      </c>
      <c r="D404" t="s">
        <v>745</v>
      </c>
    </row>
    <row r="405" spans="1:4" x14ac:dyDescent="0.25">
      <c r="A405" t="s">
        <v>1207</v>
      </c>
      <c r="B405" s="181" t="str">
        <f>'Stmt of Cash Flow - Prop Funds'!G27</f>
        <v>Proceeds from special assessment, net of receivable change</v>
      </c>
      <c r="C405" t="s">
        <v>754</v>
      </c>
      <c r="D405" t="s">
        <v>745</v>
      </c>
    </row>
    <row r="406" spans="1:4" x14ac:dyDescent="0.25">
      <c r="A406" t="s">
        <v>1208</v>
      </c>
      <c r="B406" s="181" t="str">
        <f>'Stmt of Cash Flow - Prop Funds'!G28</f>
        <v>Acquisition &amp; Construction of Capital Assets</v>
      </c>
      <c r="C406" t="s">
        <v>754</v>
      </c>
      <c r="D406" t="s">
        <v>745</v>
      </c>
    </row>
    <row r="407" spans="1:4" x14ac:dyDescent="0.25">
      <c r="A407" t="s">
        <v>1209</v>
      </c>
      <c r="B407" s="181" t="str">
        <f>'Stmt of Cash Flow - Prop Funds'!G29</f>
        <v>Proceeds from sale of property, plant, equipment</v>
      </c>
      <c r="C407" t="s">
        <v>754</v>
      </c>
      <c r="D407" t="s">
        <v>745</v>
      </c>
    </row>
    <row r="408" spans="1:4" x14ac:dyDescent="0.25">
      <c r="A408" t="s">
        <v>1210</v>
      </c>
      <c r="B408" s="181" t="str">
        <f>'Stmt of Cash Flow - Prop Funds'!G30</f>
        <v>Principal received on Notes Receivable</v>
      </c>
      <c r="C408" t="s">
        <v>754</v>
      </c>
      <c r="D408" t="s">
        <v>745</v>
      </c>
    </row>
    <row r="409" spans="1:4" x14ac:dyDescent="0.25">
      <c r="A409" t="s">
        <v>1211</v>
      </c>
      <c r="B409" s="181" t="str">
        <f>'Stmt of Cash Flow - Prop Funds'!G31</f>
        <v>Bond fees and costs</v>
      </c>
      <c r="C409" t="s">
        <v>754</v>
      </c>
      <c r="D409" t="s">
        <v>745</v>
      </c>
    </row>
    <row r="410" spans="1:4" x14ac:dyDescent="0.25">
      <c r="A410" t="s">
        <v>1212</v>
      </c>
      <c r="B410" s="181" t="str">
        <f>'Stmt of Cash Flow - Prop Funds'!G32</f>
        <v>Interest paid on Revenue Bonds, Note Maturities &amp; Capital Lease</v>
      </c>
      <c r="C410" t="s">
        <v>754</v>
      </c>
      <c r="D410" t="s">
        <v>745</v>
      </c>
    </row>
    <row r="411" spans="1:4" x14ac:dyDescent="0.25">
      <c r="A411" t="s">
        <v>1213</v>
      </c>
      <c r="B411" s="181" t="str">
        <f>'Stmt of Cash Flow - Prop Funds'!G33</f>
        <v>Principal paid on Revenue Bonds, Note Maturities &amp; Capital Lease</v>
      </c>
      <c r="C411" t="s">
        <v>754</v>
      </c>
      <c r="D411" t="s">
        <v>745</v>
      </c>
    </row>
    <row r="412" spans="1:4" x14ac:dyDescent="0.25">
      <c r="A412" t="s">
        <v>1214</v>
      </c>
      <c r="B412" s="181" t="str">
        <f>'Stmt of Cash Flow - Prop Funds'!G34</f>
        <v>Payments to Escrow Agents - Debt Refunding</v>
      </c>
      <c r="C412" t="s">
        <v>754</v>
      </c>
      <c r="D412" t="s">
        <v>745</v>
      </c>
    </row>
    <row r="413" spans="1:4" x14ac:dyDescent="0.25">
      <c r="A413" t="s">
        <v>1215</v>
      </c>
      <c r="B413" s="181" t="str">
        <f>'Stmt of Cash Flow - Prop Funds'!G35</f>
        <v>Intergovernmental Revenue</v>
      </c>
      <c r="C413" t="s">
        <v>754</v>
      </c>
      <c r="D413" t="s">
        <v>745</v>
      </c>
    </row>
    <row r="414" spans="1:4" x14ac:dyDescent="0.25">
      <c r="A414" t="s">
        <v>1216</v>
      </c>
      <c r="B414" s="181" t="str">
        <f>'Stmt of Cash Flow - Prop Funds'!G36</f>
        <v>Capital and related financing activities debt service costs</v>
      </c>
      <c r="C414" t="s">
        <v>754</v>
      </c>
      <c r="D414" t="s">
        <v>745</v>
      </c>
    </row>
    <row r="415" spans="1:4" x14ac:dyDescent="0.25">
      <c r="A415" t="s">
        <v>1217</v>
      </c>
      <c r="B415" s="181" t="str">
        <f>'Stmt of Cash Flow - Prop Funds'!G37</f>
        <v>Net cash provided by (used in) capital and related financing activities</v>
      </c>
      <c r="C415" t="s">
        <v>754</v>
      </c>
      <c r="D415" t="s">
        <v>745</v>
      </c>
    </row>
    <row r="416" spans="1:4" x14ac:dyDescent="0.25">
      <c r="A416" t="s">
        <v>1218</v>
      </c>
      <c r="B416" s="181" t="str">
        <f>'Stmt of Cash Flow - Prop Funds'!G39</f>
        <v>Purchase, Sale and Maturities of Investments, net</v>
      </c>
      <c r="C416" t="s">
        <v>754</v>
      </c>
      <c r="D416" t="s">
        <v>745</v>
      </c>
    </row>
    <row r="417" spans="1:4" x14ac:dyDescent="0.25">
      <c r="A417" t="s">
        <v>1219</v>
      </c>
      <c r="B417" s="181" t="str">
        <f>'Stmt of Cash Flow - Prop Funds'!G40</f>
        <v>Interest received on investments</v>
      </c>
      <c r="C417" t="s">
        <v>754</v>
      </c>
      <c r="D417" t="s">
        <v>745</v>
      </c>
    </row>
    <row r="418" spans="1:4" x14ac:dyDescent="0.25">
      <c r="A418" t="s">
        <v>1220</v>
      </c>
      <c r="B418" s="181" t="str">
        <f>'Stmt of Cash Flow - Prop Funds'!G41</f>
        <v>Net cash provided by investing activities</v>
      </c>
      <c r="C418" t="s">
        <v>754</v>
      </c>
      <c r="D418" t="s">
        <v>745</v>
      </c>
    </row>
    <row r="419" spans="1:4" x14ac:dyDescent="0.25">
      <c r="A419" t="s">
        <v>1221</v>
      </c>
      <c r="B419" s="181" t="str">
        <f>'Stmt of Cash Flow - Prop Funds'!G42</f>
        <v>Net increase (decrease) in cash</v>
      </c>
      <c r="C419" t="s">
        <v>754</v>
      </c>
      <c r="D419" t="s">
        <v>745</v>
      </c>
    </row>
    <row r="420" spans="1:4" x14ac:dyDescent="0.25">
      <c r="A420" t="s">
        <v>1222</v>
      </c>
      <c r="B420" s="181" t="str">
        <f>'Stmt of Cash Flow - Prop Funds'!G43</f>
        <v xml:space="preserve">Cash at beginning of year </v>
      </c>
      <c r="C420" t="s">
        <v>754</v>
      </c>
      <c r="D420" t="s">
        <v>749</v>
      </c>
    </row>
    <row r="421" spans="1:4" x14ac:dyDescent="0.25">
      <c r="A421" t="s">
        <v>1222</v>
      </c>
      <c r="B421" s="181" t="str">
        <f>'Stmt of Cash Flow - Prop Funds'!G44</f>
        <v>Cash at year end</v>
      </c>
      <c r="C421" t="s">
        <v>754</v>
      </c>
      <c r="D421" t="s">
        <v>749</v>
      </c>
    </row>
    <row r="422" spans="1:4" x14ac:dyDescent="0.25">
      <c r="A422" t="s">
        <v>1223</v>
      </c>
      <c r="B422" s="181" t="str">
        <f>'Stmt of Cash Flow - Prop Funds'!G47</f>
        <v>Operating income (loss)</v>
      </c>
      <c r="C422" t="s">
        <v>754</v>
      </c>
      <c r="D422" t="s">
        <v>749</v>
      </c>
    </row>
    <row r="423" spans="1:4" x14ac:dyDescent="0.25">
      <c r="A423" t="s">
        <v>557</v>
      </c>
      <c r="B423" s="181" t="str">
        <f>'Stmt of Cash Flow - Prop Funds'!G49</f>
        <v xml:space="preserve">Depreciation </v>
      </c>
      <c r="C423" t="s">
        <v>754</v>
      </c>
      <c r="D423" t="s">
        <v>745</v>
      </c>
    </row>
    <row r="424" spans="1:4" x14ac:dyDescent="0.25">
      <c r="A424" t="s">
        <v>558</v>
      </c>
      <c r="B424" s="181" t="str">
        <f>'Stmt of Cash Flow - Prop Funds'!G50</f>
        <v>Amortization</v>
      </c>
      <c r="C424" t="s">
        <v>754</v>
      </c>
      <c r="D424" t="s">
        <v>745</v>
      </c>
    </row>
    <row r="425" spans="1:4" x14ac:dyDescent="0.25">
      <c r="A425" t="s">
        <v>1224</v>
      </c>
      <c r="B425" s="181" t="str">
        <f>'Stmt of Cash Flow - Prop Funds'!G51</f>
        <v>Other non-operating income (loss), net</v>
      </c>
      <c r="C425" t="s">
        <v>754</v>
      </c>
      <c r="D425" t="s">
        <v>745</v>
      </c>
    </row>
    <row r="426" spans="1:4" x14ac:dyDescent="0.25">
      <c r="A426" t="s">
        <v>1225</v>
      </c>
      <c r="B426" s="181" t="str">
        <f>'Stmt of Cash Flow - Prop Funds'!G53</f>
        <v>Accounts Receivable, DFOG, net</v>
      </c>
      <c r="C426" t="s">
        <v>754</v>
      </c>
      <c r="D426" t="s">
        <v>745</v>
      </c>
    </row>
    <row r="427" spans="1:4" x14ac:dyDescent="0.25">
      <c r="A427" t="s">
        <v>1226</v>
      </c>
      <c r="B427" s="181" t="str">
        <f>'Stmt of Cash Flow - Prop Funds'!G54</f>
        <v>Prepaids &amp; Other Assets</v>
      </c>
      <c r="C427" t="s">
        <v>754</v>
      </c>
      <c r="D427" t="s">
        <v>745</v>
      </c>
    </row>
    <row r="428" spans="1:4" x14ac:dyDescent="0.25">
      <c r="A428" t="s">
        <v>1227</v>
      </c>
      <c r="B428" s="181" t="str">
        <f>'Stmt of Cash Flow - Prop Funds'!G55</f>
        <v>Accounts Payable &amp; Accrued Liabilities</v>
      </c>
      <c r="C428" t="s">
        <v>754</v>
      </c>
      <c r="D428" t="s">
        <v>745</v>
      </c>
    </row>
    <row r="429" spans="1:4" x14ac:dyDescent="0.25">
      <c r="A429" s="614" t="s">
        <v>1843</v>
      </c>
      <c r="B429" s="615" t="str">
        <f>'Stmt of Cash Flow - Prop Funds'!G56</f>
        <v xml:space="preserve">Deposits  </v>
      </c>
      <c r="C429" s="614" t="s">
        <v>754</v>
      </c>
      <c r="D429" t="s">
        <v>745</v>
      </c>
    </row>
    <row r="430" spans="1:4" x14ac:dyDescent="0.25">
      <c r="A430" t="s">
        <v>1228</v>
      </c>
      <c r="B430" s="181" t="str">
        <f>'Stmt of Cash Flow - Prop Funds'!G57</f>
        <v>Accrued Salary, Compensated Absences and OPEB</v>
      </c>
      <c r="C430" t="s">
        <v>754</v>
      </c>
      <c r="D430" t="s">
        <v>745</v>
      </c>
    </row>
    <row r="431" spans="1:4" x14ac:dyDescent="0.25">
      <c r="A431" t="s">
        <v>1229</v>
      </c>
      <c r="B431" s="181" t="str">
        <f>'Stmt of Cash Flow - Prop Funds'!G58</f>
        <v>Net (increase) decrease in assets and increase</v>
      </c>
      <c r="C431" t="s">
        <v>754</v>
      </c>
      <c r="D431" t="s">
        <v>745</v>
      </c>
    </row>
    <row r="432" spans="1:4" x14ac:dyDescent="0.25">
      <c r="A432" t="s">
        <v>1230</v>
      </c>
      <c r="B432" s="181" t="str">
        <f>'Stmt of Cash Flow - Prop Funds'!G59</f>
        <v>Total adjustments to reconcile operating income (loss) to net cash provided by (used in) operating activities</v>
      </c>
      <c r="C432" t="s">
        <v>754</v>
      </c>
      <c r="D432" t="s">
        <v>745</v>
      </c>
    </row>
    <row r="433" spans="1:5" x14ac:dyDescent="0.25">
      <c r="A433" t="s">
        <v>1223</v>
      </c>
      <c r="B433" s="181" t="str">
        <f>'Stmt of Cash Flow - Prop Funds'!G60</f>
        <v>Net cash provided by (used in) operating activities</v>
      </c>
      <c r="C433" t="s">
        <v>754</v>
      </c>
      <c r="D433" t="s">
        <v>749</v>
      </c>
    </row>
    <row r="434" spans="1:5" ht="18.75" x14ac:dyDescent="0.3">
      <c r="A434" s="354" t="s">
        <v>392</v>
      </c>
      <c r="B434" s="354"/>
      <c r="C434" s="354"/>
      <c r="D434" s="354"/>
      <c r="E434" s="354"/>
    </row>
    <row r="435" spans="1:5" x14ac:dyDescent="0.25">
      <c r="A435" t="s">
        <v>1861</v>
      </c>
      <c r="B435" s="181" t="s">
        <v>640</v>
      </c>
      <c r="C435" t="s">
        <v>744</v>
      </c>
      <c r="D435" t="s">
        <v>745</v>
      </c>
    </row>
    <row r="436" spans="1:5" x14ac:dyDescent="0.25">
      <c r="A436" t="s">
        <v>1862</v>
      </c>
      <c r="B436" s="181" t="s">
        <v>641</v>
      </c>
      <c r="C436" t="s">
        <v>754</v>
      </c>
      <c r="D436" t="s">
        <v>745</v>
      </c>
    </row>
    <row r="437" spans="1:5" x14ac:dyDescent="0.25">
      <c r="A437" t="s">
        <v>1863</v>
      </c>
      <c r="B437" s="181" t="s">
        <v>642</v>
      </c>
      <c r="C437" t="s">
        <v>754</v>
      </c>
      <c r="D437" t="s">
        <v>745</v>
      </c>
    </row>
    <row r="438" spans="1:5" x14ac:dyDescent="0.25">
      <c r="A438" t="s">
        <v>1864</v>
      </c>
      <c r="B438" s="181" t="s">
        <v>643</v>
      </c>
      <c r="C438" t="s">
        <v>754</v>
      </c>
      <c r="D438" t="s">
        <v>745</v>
      </c>
    </row>
    <row r="439" spans="1:5" x14ac:dyDescent="0.25">
      <c r="A439" t="s">
        <v>1865</v>
      </c>
      <c r="B439" s="181" t="s">
        <v>644</v>
      </c>
      <c r="C439" t="s">
        <v>754</v>
      </c>
      <c r="D439" t="s">
        <v>745</v>
      </c>
    </row>
    <row r="440" spans="1:5" x14ac:dyDescent="0.25">
      <c r="A440" t="s">
        <v>1866</v>
      </c>
      <c r="B440" s="181" t="s">
        <v>645</v>
      </c>
      <c r="C440" t="s">
        <v>754</v>
      </c>
      <c r="D440" t="s">
        <v>745</v>
      </c>
    </row>
    <row r="441" spans="1:5" x14ac:dyDescent="0.25">
      <c r="A441" t="s">
        <v>1867</v>
      </c>
      <c r="B441" s="181" t="s">
        <v>646</v>
      </c>
      <c r="C441" t="s">
        <v>754</v>
      </c>
      <c r="D441" t="s">
        <v>745</v>
      </c>
    </row>
    <row r="442" spans="1:5" x14ac:dyDescent="0.25">
      <c r="A442" t="s">
        <v>1868</v>
      </c>
      <c r="B442" s="181" t="s">
        <v>647</v>
      </c>
      <c r="C442" t="s">
        <v>754</v>
      </c>
      <c r="D442" t="s">
        <v>745</v>
      </c>
    </row>
    <row r="443" spans="1:5" x14ac:dyDescent="0.25">
      <c r="A443" t="s">
        <v>1869</v>
      </c>
      <c r="B443" s="181" t="s">
        <v>648</v>
      </c>
      <c r="C443" t="s">
        <v>754</v>
      </c>
      <c r="D443" t="s">
        <v>745</v>
      </c>
    </row>
    <row r="444" spans="1:5" x14ac:dyDescent="0.25">
      <c r="A444" t="s">
        <v>1870</v>
      </c>
      <c r="B444" s="181" t="s">
        <v>649</v>
      </c>
      <c r="C444" t="s">
        <v>748</v>
      </c>
      <c r="D444" t="s">
        <v>749</v>
      </c>
    </row>
    <row r="445" spans="1:5" x14ac:dyDescent="0.25">
      <c r="A445" t="s">
        <v>1871</v>
      </c>
      <c r="B445" s="181" t="s">
        <v>650</v>
      </c>
      <c r="C445" t="s">
        <v>744</v>
      </c>
      <c r="D445" t="s">
        <v>745</v>
      </c>
    </row>
    <row r="446" spans="1:5" x14ac:dyDescent="0.25">
      <c r="A446" t="s">
        <v>1872</v>
      </c>
      <c r="B446" s="181" t="s">
        <v>651</v>
      </c>
      <c r="C446" t="s">
        <v>744</v>
      </c>
      <c r="D446" t="s">
        <v>745</v>
      </c>
    </row>
    <row r="447" spans="1:5" x14ac:dyDescent="0.25">
      <c r="A447" t="s">
        <v>1873</v>
      </c>
      <c r="B447" s="181" t="s">
        <v>652</v>
      </c>
      <c r="C447" t="s">
        <v>744</v>
      </c>
      <c r="D447" t="s">
        <v>745</v>
      </c>
    </row>
    <row r="448" spans="1:5" x14ac:dyDescent="0.25">
      <c r="A448" t="s">
        <v>1874</v>
      </c>
      <c r="B448" s="181" t="s">
        <v>653</v>
      </c>
      <c r="C448" t="s">
        <v>744</v>
      </c>
      <c r="D448" t="s">
        <v>745</v>
      </c>
    </row>
    <row r="449" spans="1:5" x14ac:dyDescent="0.25">
      <c r="A449" t="s">
        <v>1875</v>
      </c>
      <c r="B449" s="181" t="s">
        <v>654</v>
      </c>
      <c r="C449" t="s">
        <v>744</v>
      </c>
      <c r="D449" t="s">
        <v>745</v>
      </c>
    </row>
    <row r="450" spans="1:5" x14ac:dyDescent="0.25">
      <c r="A450" t="s">
        <v>1876</v>
      </c>
      <c r="B450" s="181" t="s">
        <v>655</v>
      </c>
      <c r="C450" t="s">
        <v>744</v>
      </c>
      <c r="D450" t="s">
        <v>745</v>
      </c>
    </row>
    <row r="451" spans="1:5" x14ac:dyDescent="0.25">
      <c r="A451" t="s">
        <v>1877</v>
      </c>
      <c r="B451" s="181" t="s">
        <v>656</v>
      </c>
      <c r="C451" t="s">
        <v>744</v>
      </c>
      <c r="D451" t="s">
        <v>745</v>
      </c>
    </row>
    <row r="452" spans="1:5" x14ac:dyDescent="0.25">
      <c r="A452" t="s">
        <v>1878</v>
      </c>
      <c r="B452" s="181" t="s">
        <v>657</v>
      </c>
      <c r="C452" t="s">
        <v>744</v>
      </c>
      <c r="D452" t="s">
        <v>745</v>
      </c>
    </row>
    <row r="453" spans="1:5" x14ac:dyDescent="0.25">
      <c r="A453" t="s">
        <v>1879</v>
      </c>
      <c r="B453" s="181" t="s">
        <v>658</v>
      </c>
      <c r="C453" t="s">
        <v>744</v>
      </c>
      <c r="D453" t="s">
        <v>745</v>
      </c>
    </row>
    <row r="454" spans="1:5" x14ac:dyDescent="0.25">
      <c r="A454" t="s">
        <v>1880</v>
      </c>
      <c r="B454" s="181" t="s">
        <v>659</v>
      </c>
      <c r="C454" t="s">
        <v>754</v>
      </c>
      <c r="D454" t="s">
        <v>745</v>
      </c>
    </row>
    <row r="455" spans="1:5" x14ac:dyDescent="0.25">
      <c r="A455" t="s">
        <v>1881</v>
      </c>
      <c r="B455" s="181" t="s">
        <v>660</v>
      </c>
      <c r="C455" t="s">
        <v>754</v>
      </c>
      <c r="D455" t="s">
        <v>745</v>
      </c>
    </row>
    <row r="456" spans="1:5" x14ac:dyDescent="0.25">
      <c r="A456" t="s">
        <v>1882</v>
      </c>
      <c r="B456" s="181" t="s">
        <v>661</v>
      </c>
      <c r="C456" t="s">
        <v>754</v>
      </c>
      <c r="D456" t="s">
        <v>745</v>
      </c>
    </row>
    <row r="457" spans="1:5" x14ac:dyDescent="0.25">
      <c r="A457" t="s">
        <v>1883</v>
      </c>
      <c r="B457" s="181" t="s">
        <v>662</v>
      </c>
      <c r="C457" t="s">
        <v>754</v>
      </c>
      <c r="D457" t="s">
        <v>745</v>
      </c>
    </row>
    <row r="458" spans="1:5" x14ac:dyDescent="0.25">
      <c r="A458" t="s">
        <v>1884</v>
      </c>
      <c r="B458" s="181" t="s">
        <v>663</v>
      </c>
      <c r="C458" t="s">
        <v>754</v>
      </c>
      <c r="D458" t="s">
        <v>745</v>
      </c>
    </row>
    <row r="459" spans="1:5" x14ac:dyDescent="0.25">
      <c r="A459" t="s">
        <v>1885</v>
      </c>
      <c r="B459" s="181" t="s">
        <v>664</v>
      </c>
      <c r="C459" t="s">
        <v>754</v>
      </c>
      <c r="D459" t="s">
        <v>745</v>
      </c>
    </row>
    <row r="460" spans="1:5" x14ac:dyDescent="0.25">
      <c r="A460" t="s">
        <v>1886</v>
      </c>
      <c r="B460" s="181" t="s">
        <v>665</v>
      </c>
      <c r="C460" t="s">
        <v>754</v>
      </c>
      <c r="D460" t="s">
        <v>745</v>
      </c>
    </row>
    <row r="461" spans="1:5" x14ac:dyDescent="0.25">
      <c r="A461" t="s">
        <v>1887</v>
      </c>
      <c r="B461" s="181" t="s">
        <v>666</v>
      </c>
      <c r="C461" t="s">
        <v>754</v>
      </c>
      <c r="D461" t="s">
        <v>745</v>
      </c>
    </row>
    <row r="462" spans="1:5" ht="18.75" x14ac:dyDescent="0.3">
      <c r="A462" s="354" t="s">
        <v>1855</v>
      </c>
      <c r="B462" s="354"/>
      <c r="C462" s="354"/>
      <c r="D462" s="354"/>
      <c r="E462" s="354"/>
    </row>
    <row r="463" spans="1:5" x14ac:dyDescent="0.25">
      <c r="A463" t="s">
        <v>669</v>
      </c>
      <c r="B463" s="181" t="s">
        <v>669</v>
      </c>
      <c r="C463" t="s">
        <v>748</v>
      </c>
      <c r="D463" t="s">
        <v>749</v>
      </c>
    </row>
    <row r="464" spans="1:5" x14ac:dyDescent="0.25">
      <c r="A464" t="s">
        <v>1888</v>
      </c>
      <c r="B464" s="181" t="s">
        <v>670</v>
      </c>
      <c r="C464" t="s">
        <v>744</v>
      </c>
      <c r="D464" t="s">
        <v>745</v>
      </c>
    </row>
    <row r="465" spans="1:5" x14ac:dyDescent="0.25">
      <c r="A465" t="s">
        <v>1889</v>
      </c>
      <c r="B465" s="181" t="s">
        <v>671</v>
      </c>
      <c r="C465" t="s">
        <v>754</v>
      </c>
      <c r="D465" t="s">
        <v>745</v>
      </c>
    </row>
    <row r="466" spans="1:5" x14ac:dyDescent="0.25">
      <c r="A466" t="s">
        <v>423</v>
      </c>
      <c r="B466" s="181" t="s">
        <v>672</v>
      </c>
      <c r="C466" t="s">
        <v>754</v>
      </c>
      <c r="D466" t="s">
        <v>745</v>
      </c>
    </row>
    <row r="467" spans="1:5" x14ac:dyDescent="0.25">
      <c r="A467" t="s">
        <v>422</v>
      </c>
      <c r="B467" s="181" t="s">
        <v>673</v>
      </c>
      <c r="C467" t="s">
        <v>754</v>
      </c>
      <c r="D467" t="s">
        <v>745</v>
      </c>
    </row>
    <row r="468" spans="1:5" x14ac:dyDescent="0.25">
      <c r="A468" t="s">
        <v>421</v>
      </c>
      <c r="B468" s="181" t="s">
        <v>674</v>
      </c>
      <c r="C468" t="s">
        <v>754</v>
      </c>
      <c r="D468" t="s">
        <v>745</v>
      </c>
    </row>
    <row r="469" spans="1:5" x14ac:dyDescent="0.25">
      <c r="A469" t="s">
        <v>1890</v>
      </c>
      <c r="B469" s="181" t="s">
        <v>675</v>
      </c>
      <c r="C469" t="s">
        <v>748</v>
      </c>
      <c r="D469" t="s">
        <v>749</v>
      </c>
    </row>
    <row r="470" spans="1:5" x14ac:dyDescent="0.25">
      <c r="A470" t="s">
        <v>1891</v>
      </c>
      <c r="B470" s="181" t="s">
        <v>676</v>
      </c>
      <c r="C470" t="s">
        <v>754</v>
      </c>
      <c r="D470" t="s">
        <v>745</v>
      </c>
    </row>
    <row r="471" spans="1:5" x14ac:dyDescent="0.25">
      <c r="A471" t="s">
        <v>418</v>
      </c>
      <c r="B471" s="181" t="s">
        <v>677</v>
      </c>
      <c r="C471" t="s">
        <v>754</v>
      </c>
      <c r="D471" t="s">
        <v>745</v>
      </c>
    </row>
    <row r="472" spans="1:5" x14ac:dyDescent="0.25">
      <c r="A472" t="s">
        <v>420</v>
      </c>
      <c r="B472" s="181" t="s">
        <v>678</v>
      </c>
      <c r="C472" t="s">
        <v>754</v>
      </c>
      <c r="D472" t="s">
        <v>745</v>
      </c>
    </row>
    <row r="473" spans="1:5" x14ac:dyDescent="0.25">
      <c r="A473" t="s">
        <v>1892</v>
      </c>
      <c r="B473" s="181" t="s">
        <v>679</v>
      </c>
      <c r="C473" t="s">
        <v>744</v>
      </c>
      <c r="D473" t="s">
        <v>745</v>
      </c>
    </row>
    <row r="474" spans="1:5" x14ac:dyDescent="0.25">
      <c r="A474" t="s">
        <v>1893</v>
      </c>
      <c r="B474" s="181" t="s">
        <v>680</v>
      </c>
      <c r="C474" t="s">
        <v>744</v>
      </c>
      <c r="D474" t="s">
        <v>745</v>
      </c>
    </row>
    <row r="475" spans="1:5" x14ac:dyDescent="0.25">
      <c r="A475" t="s">
        <v>417</v>
      </c>
      <c r="B475" s="181" t="s">
        <v>681</v>
      </c>
      <c r="C475" t="s">
        <v>744</v>
      </c>
      <c r="D475" t="s">
        <v>745</v>
      </c>
    </row>
    <row r="476" spans="1:5" x14ac:dyDescent="0.25">
      <c r="A476" t="s">
        <v>1894</v>
      </c>
      <c r="B476" s="181" t="s">
        <v>682</v>
      </c>
      <c r="C476" t="s">
        <v>754</v>
      </c>
      <c r="D476" t="s">
        <v>745</v>
      </c>
    </row>
    <row r="477" spans="1:5" x14ac:dyDescent="0.25">
      <c r="A477" t="s">
        <v>1895</v>
      </c>
      <c r="B477" s="181" t="s">
        <v>683</v>
      </c>
      <c r="C477" t="s">
        <v>754</v>
      </c>
      <c r="D477" t="s">
        <v>745</v>
      </c>
    </row>
    <row r="478" spans="1:5" x14ac:dyDescent="0.25">
      <c r="A478" t="s">
        <v>1896</v>
      </c>
      <c r="B478" s="181" t="s">
        <v>684</v>
      </c>
      <c r="C478" t="s">
        <v>754</v>
      </c>
      <c r="D478" t="s">
        <v>745</v>
      </c>
    </row>
    <row r="479" spans="1:5" x14ac:dyDescent="0.25">
      <c r="A479" t="s">
        <v>419</v>
      </c>
      <c r="B479" s="181" t="s">
        <v>1848</v>
      </c>
      <c r="C479" t="s">
        <v>744</v>
      </c>
      <c r="D479" t="s">
        <v>745</v>
      </c>
    </row>
    <row r="480" spans="1:5" ht="18.75" x14ac:dyDescent="0.3">
      <c r="A480" s="354" t="s">
        <v>1856</v>
      </c>
      <c r="B480" s="354"/>
      <c r="C480" s="354"/>
      <c r="D480" s="354"/>
      <c r="E480" s="354"/>
    </row>
    <row r="481" spans="1:5" x14ac:dyDescent="0.25">
      <c r="A481" t="s">
        <v>1857</v>
      </c>
      <c r="B481" s="181" t="s">
        <v>1850</v>
      </c>
      <c r="C481" t="s">
        <v>744</v>
      </c>
      <c r="D481" t="s">
        <v>745</v>
      </c>
    </row>
    <row r="482" spans="1:5" x14ac:dyDescent="0.25">
      <c r="A482" t="s">
        <v>1858</v>
      </c>
      <c r="B482" s="181" t="s">
        <v>1851</v>
      </c>
      <c r="C482" t="s">
        <v>754</v>
      </c>
      <c r="D482" t="s">
        <v>745</v>
      </c>
    </row>
    <row r="483" spans="1:5" x14ac:dyDescent="0.25">
      <c r="A483" t="s">
        <v>1859</v>
      </c>
      <c r="B483" s="181" t="s">
        <v>1852</v>
      </c>
      <c r="C483" t="s">
        <v>1860</v>
      </c>
      <c r="D483" t="s">
        <v>745</v>
      </c>
    </row>
    <row r="484" spans="1:5" ht="18.75" x14ac:dyDescent="0.3">
      <c r="A484" s="354" t="s">
        <v>1235</v>
      </c>
      <c r="B484" s="354"/>
      <c r="C484" s="354"/>
      <c r="D484" s="354"/>
      <c r="E484" s="354"/>
    </row>
    <row r="485" spans="1:5" x14ac:dyDescent="0.25">
      <c r="A485" t="s">
        <v>906</v>
      </c>
      <c r="B485" s="181" t="s">
        <v>1251</v>
      </c>
      <c r="C485" t="s">
        <v>754</v>
      </c>
      <c r="D485" t="s">
        <v>749</v>
      </c>
    </row>
    <row r="486" spans="1:5" x14ac:dyDescent="0.25">
      <c r="A486" t="s">
        <v>1236</v>
      </c>
      <c r="B486" s="181" t="s">
        <v>687</v>
      </c>
      <c r="C486" t="s">
        <v>754</v>
      </c>
      <c r="D486" t="s">
        <v>749</v>
      </c>
    </row>
    <row r="487" spans="1:5" x14ac:dyDescent="0.25">
      <c r="A487" t="s">
        <v>1237</v>
      </c>
      <c r="B487" s="181" t="s">
        <v>689</v>
      </c>
      <c r="C487" t="s">
        <v>754</v>
      </c>
      <c r="D487" t="s">
        <v>749</v>
      </c>
    </row>
    <row r="488" spans="1:5" x14ac:dyDescent="0.25">
      <c r="A488" t="s">
        <v>499</v>
      </c>
      <c r="B488" s="181" t="s">
        <v>1252</v>
      </c>
      <c r="C488" t="s">
        <v>754</v>
      </c>
      <c r="D488" t="s">
        <v>749</v>
      </c>
    </row>
    <row r="489" spans="1:5" x14ac:dyDescent="0.25">
      <c r="A489" t="s">
        <v>1238</v>
      </c>
      <c r="B489" s="181" t="s">
        <v>691</v>
      </c>
      <c r="C489" t="s">
        <v>754</v>
      </c>
      <c r="D489" t="s">
        <v>749</v>
      </c>
    </row>
    <row r="490" spans="1:5" x14ac:dyDescent="0.25">
      <c r="A490" t="s">
        <v>234</v>
      </c>
      <c r="B490" s="181" t="s">
        <v>967</v>
      </c>
      <c r="C490" t="s">
        <v>754</v>
      </c>
      <c r="D490" t="s">
        <v>749</v>
      </c>
    </row>
    <row r="491" spans="1:5" x14ac:dyDescent="0.25">
      <c r="A491" t="s">
        <v>767</v>
      </c>
      <c r="B491" s="181" t="s">
        <v>1253</v>
      </c>
      <c r="C491" t="s">
        <v>754</v>
      </c>
      <c r="D491" t="s">
        <v>749</v>
      </c>
    </row>
    <row r="492" spans="1:5" x14ac:dyDescent="0.25">
      <c r="A492" t="s">
        <v>1239</v>
      </c>
      <c r="B492" s="181" t="s">
        <v>693</v>
      </c>
      <c r="C492" t="s">
        <v>754</v>
      </c>
      <c r="D492" t="s">
        <v>749</v>
      </c>
    </row>
    <row r="493" spans="1:5" x14ac:dyDescent="0.25">
      <c r="A493" t="s">
        <v>1240</v>
      </c>
      <c r="B493" s="181" t="s">
        <v>694</v>
      </c>
      <c r="C493" t="s">
        <v>754</v>
      </c>
      <c r="D493" t="s">
        <v>749</v>
      </c>
    </row>
    <row r="494" spans="1:5" x14ac:dyDescent="0.25">
      <c r="A494" t="s">
        <v>1241</v>
      </c>
      <c r="B494" s="181" t="s">
        <v>695</v>
      </c>
      <c r="C494" t="s">
        <v>754</v>
      </c>
      <c r="D494" t="s">
        <v>749</v>
      </c>
    </row>
    <row r="495" spans="1:5" x14ac:dyDescent="0.25">
      <c r="A495" t="s">
        <v>1242</v>
      </c>
      <c r="B495" s="181" t="s">
        <v>696</v>
      </c>
      <c r="C495" t="s">
        <v>754</v>
      </c>
      <c r="D495" t="s">
        <v>749</v>
      </c>
    </row>
    <row r="496" spans="1:5" x14ac:dyDescent="0.25">
      <c r="A496" t="s">
        <v>1243</v>
      </c>
      <c r="B496" s="181" t="s">
        <v>697</v>
      </c>
      <c r="C496" t="s">
        <v>754</v>
      </c>
      <c r="D496" t="s">
        <v>749</v>
      </c>
    </row>
    <row r="497" spans="1:5" x14ac:dyDescent="0.25">
      <c r="A497" t="s">
        <v>1244</v>
      </c>
      <c r="B497" s="181" t="s">
        <v>698</v>
      </c>
      <c r="C497" t="s">
        <v>754</v>
      </c>
      <c r="D497" t="s">
        <v>749</v>
      </c>
    </row>
    <row r="498" spans="1:5" x14ac:dyDescent="0.25">
      <c r="A498" t="s">
        <v>1245</v>
      </c>
      <c r="B498" s="181" t="s">
        <v>968</v>
      </c>
      <c r="C498" t="s">
        <v>754</v>
      </c>
      <c r="D498" t="s">
        <v>749</v>
      </c>
    </row>
    <row r="499" spans="1:5" x14ac:dyDescent="0.25">
      <c r="A499" t="s">
        <v>235</v>
      </c>
      <c r="B499" s="181" t="s">
        <v>1254</v>
      </c>
      <c r="C499" t="s">
        <v>754</v>
      </c>
      <c r="D499" t="s">
        <v>749</v>
      </c>
    </row>
    <row r="500" spans="1:5" x14ac:dyDescent="0.25">
      <c r="A500" t="s">
        <v>1246</v>
      </c>
      <c r="B500" s="181" t="s">
        <v>1255</v>
      </c>
      <c r="C500" t="s">
        <v>754</v>
      </c>
      <c r="D500" t="s">
        <v>749</v>
      </c>
    </row>
    <row r="501" spans="1:5" x14ac:dyDescent="0.25">
      <c r="A501" t="s">
        <v>1247</v>
      </c>
      <c r="B501" s="181" t="s">
        <v>699</v>
      </c>
      <c r="C501" t="s">
        <v>754</v>
      </c>
      <c r="D501" t="s">
        <v>749</v>
      </c>
    </row>
    <row r="502" spans="1:5" x14ac:dyDescent="0.25">
      <c r="A502" t="s">
        <v>1248</v>
      </c>
      <c r="B502" s="181" t="s">
        <v>700</v>
      </c>
      <c r="C502" t="s">
        <v>754</v>
      </c>
      <c r="D502" t="s">
        <v>749</v>
      </c>
    </row>
    <row r="503" spans="1:5" x14ac:dyDescent="0.25">
      <c r="A503" t="s">
        <v>227</v>
      </c>
      <c r="B503" s="181" t="s">
        <v>1256</v>
      </c>
      <c r="C503" t="s">
        <v>754</v>
      </c>
      <c r="D503" t="s">
        <v>749</v>
      </c>
    </row>
    <row r="504" spans="1:5" x14ac:dyDescent="0.25">
      <c r="A504" t="s">
        <v>1249</v>
      </c>
      <c r="B504" s="181" t="s">
        <v>701</v>
      </c>
      <c r="C504" t="s">
        <v>754</v>
      </c>
      <c r="D504" t="s">
        <v>749</v>
      </c>
    </row>
    <row r="505" spans="1:5" x14ac:dyDescent="0.25">
      <c r="A505" t="s">
        <v>1250</v>
      </c>
      <c r="B505" s="181" t="s">
        <v>1257</v>
      </c>
      <c r="C505" t="s">
        <v>754</v>
      </c>
      <c r="D505" t="s">
        <v>749</v>
      </c>
    </row>
    <row r="506" spans="1:5" ht="18.75" x14ac:dyDescent="0.3">
      <c r="A506" s="354" t="s">
        <v>1258</v>
      </c>
      <c r="B506" s="354"/>
      <c r="C506" s="354"/>
      <c r="D506" s="354"/>
      <c r="E506" s="354"/>
    </row>
    <row r="507" spans="1:5" x14ac:dyDescent="0.25">
      <c r="A507" t="s">
        <v>1259</v>
      </c>
      <c r="B507" s="181" t="s">
        <v>705</v>
      </c>
      <c r="C507" t="s">
        <v>754</v>
      </c>
      <c r="D507" t="s">
        <v>745</v>
      </c>
    </row>
    <row r="508" spans="1:5" x14ac:dyDescent="0.25">
      <c r="A508" t="s">
        <v>706</v>
      </c>
      <c r="B508" s="181" t="s">
        <v>706</v>
      </c>
      <c r="C508" t="s">
        <v>754</v>
      </c>
      <c r="D508" t="s">
        <v>745</v>
      </c>
    </row>
    <row r="509" spans="1:5" x14ac:dyDescent="0.25">
      <c r="A509" t="s">
        <v>1260</v>
      </c>
      <c r="B509" s="181" t="s">
        <v>707</v>
      </c>
      <c r="C509" t="s">
        <v>754</v>
      </c>
      <c r="D509" t="s">
        <v>745</v>
      </c>
    </row>
    <row r="510" spans="1:5" x14ac:dyDescent="0.25">
      <c r="A510" t="s">
        <v>1261</v>
      </c>
      <c r="B510" s="181" t="s">
        <v>708</v>
      </c>
      <c r="C510" t="s">
        <v>754</v>
      </c>
      <c r="D510" t="s">
        <v>745</v>
      </c>
    </row>
    <row r="511" spans="1:5" x14ac:dyDescent="0.25">
      <c r="A511" t="s">
        <v>1262</v>
      </c>
      <c r="B511" s="181" t="s">
        <v>710</v>
      </c>
      <c r="C511" t="s">
        <v>754</v>
      </c>
      <c r="D511" t="s">
        <v>745</v>
      </c>
    </row>
    <row r="512" spans="1:5" x14ac:dyDescent="0.25">
      <c r="A512" t="s">
        <v>1263</v>
      </c>
      <c r="B512" s="181" t="s">
        <v>711</v>
      </c>
      <c r="C512" t="s">
        <v>754</v>
      </c>
      <c r="D512" t="s">
        <v>745</v>
      </c>
    </row>
    <row r="513" spans="1:5" x14ac:dyDescent="0.25">
      <c r="A513" t="s">
        <v>1264</v>
      </c>
      <c r="B513" s="181" t="s">
        <v>712</v>
      </c>
      <c r="C513" t="s">
        <v>754</v>
      </c>
      <c r="D513" t="s">
        <v>745</v>
      </c>
    </row>
    <row r="514" spans="1:5" x14ac:dyDescent="0.25">
      <c r="A514" t="s">
        <v>1265</v>
      </c>
      <c r="B514" s="181" t="s">
        <v>713</v>
      </c>
      <c r="C514" t="s">
        <v>754</v>
      </c>
      <c r="D514" t="s">
        <v>745</v>
      </c>
    </row>
    <row r="515" spans="1:5" x14ac:dyDescent="0.25">
      <c r="A515" t="s">
        <v>1266</v>
      </c>
      <c r="B515" s="181" t="s">
        <v>714</v>
      </c>
      <c r="C515" t="s">
        <v>754</v>
      </c>
      <c r="D515" t="s">
        <v>745</v>
      </c>
    </row>
    <row r="516" spans="1:5" x14ac:dyDescent="0.25">
      <c r="A516" t="s">
        <v>1267</v>
      </c>
      <c r="B516" s="181" t="s">
        <v>715</v>
      </c>
      <c r="C516" t="s">
        <v>754</v>
      </c>
      <c r="D516" t="s">
        <v>745</v>
      </c>
    </row>
    <row r="517" spans="1:5" x14ac:dyDescent="0.25">
      <c r="A517" t="s">
        <v>66</v>
      </c>
      <c r="B517" s="181" t="s">
        <v>716</v>
      </c>
      <c r="C517" t="s">
        <v>754</v>
      </c>
      <c r="D517" t="s">
        <v>745</v>
      </c>
    </row>
    <row r="518" spans="1:5" x14ac:dyDescent="0.25">
      <c r="A518" t="s">
        <v>718</v>
      </c>
      <c r="B518" s="181" t="s">
        <v>718</v>
      </c>
      <c r="C518" t="s">
        <v>754</v>
      </c>
      <c r="D518" t="s">
        <v>745</v>
      </c>
    </row>
    <row r="519" spans="1:5" x14ac:dyDescent="0.25">
      <c r="A519" t="s">
        <v>1268</v>
      </c>
      <c r="B519" s="181" t="s">
        <v>719</v>
      </c>
      <c r="C519" t="s">
        <v>754</v>
      </c>
      <c r="D519" t="s">
        <v>745</v>
      </c>
    </row>
    <row r="520" spans="1:5" x14ac:dyDescent="0.25">
      <c r="A520" t="s">
        <v>1269</v>
      </c>
      <c r="B520" s="181" t="s">
        <v>720</v>
      </c>
      <c r="C520" t="s">
        <v>754</v>
      </c>
      <c r="D520" t="s">
        <v>745</v>
      </c>
    </row>
    <row r="521" spans="1:5" x14ac:dyDescent="0.25">
      <c r="A521" t="s">
        <v>1270</v>
      </c>
      <c r="B521" s="181" t="s">
        <v>721</v>
      </c>
      <c r="C521" t="s">
        <v>754</v>
      </c>
      <c r="D521" t="s">
        <v>745</v>
      </c>
    </row>
    <row r="522" spans="1:5" x14ac:dyDescent="0.25">
      <c r="A522" t="s">
        <v>1271</v>
      </c>
      <c r="B522" s="181" t="s">
        <v>722</v>
      </c>
      <c r="C522" t="s">
        <v>754</v>
      </c>
      <c r="D522" t="s">
        <v>745</v>
      </c>
    </row>
    <row r="523" spans="1:5" x14ac:dyDescent="0.25">
      <c r="A523" t="s">
        <v>1272</v>
      </c>
      <c r="B523" s="181" t="s">
        <v>1274</v>
      </c>
      <c r="C523" t="s">
        <v>754</v>
      </c>
      <c r="D523" t="s">
        <v>745</v>
      </c>
    </row>
    <row r="524" spans="1:5" x14ac:dyDescent="0.25">
      <c r="A524" t="s">
        <v>1273</v>
      </c>
      <c r="B524" s="181" t="s">
        <v>1275</v>
      </c>
      <c r="C524" t="s">
        <v>754</v>
      </c>
      <c r="D524" t="s">
        <v>749</v>
      </c>
    </row>
    <row r="525" spans="1:5" x14ac:dyDescent="0.25">
      <c r="A525" t="s">
        <v>1273</v>
      </c>
      <c r="B525" s="181" t="s">
        <v>1276</v>
      </c>
      <c r="C525" t="s">
        <v>754</v>
      </c>
      <c r="D525" t="s">
        <v>749</v>
      </c>
    </row>
    <row r="526" spans="1:5" ht="18.75" x14ac:dyDescent="0.3">
      <c r="A526" s="354" t="s">
        <v>63</v>
      </c>
      <c r="B526" s="354"/>
      <c r="C526" s="354"/>
      <c r="D526" s="354"/>
      <c r="E526" s="354"/>
    </row>
    <row r="527" spans="1:5" x14ac:dyDescent="0.25">
      <c r="A527" t="s">
        <v>1278</v>
      </c>
      <c r="B527" s="181" t="s">
        <v>65</v>
      </c>
      <c r="C527" t="s">
        <v>754</v>
      </c>
      <c r="D527" t="s">
        <v>749</v>
      </c>
    </row>
    <row r="528" spans="1:5" x14ac:dyDescent="0.25">
      <c r="A528" t="s">
        <v>1279</v>
      </c>
      <c r="B528" s="181" t="s">
        <v>66</v>
      </c>
      <c r="C528" t="s">
        <v>754</v>
      </c>
      <c r="D528" t="s">
        <v>745</v>
      </c>
    </row>
    <row r="529" spans="1:4" x14ac:dyDescent="0.25">
      <c r="A529" t="s">
        <v>1280</v>
      </c>
      <c r="B529" s="181" t="s">
        <v>67</v>
      </c>
      <c r="C529" t="s">
        <v>754</v>
      </c>
      <c r="D529" t="s">
        <v>745</v>
      </c>
    </row>
    <row r="530" spans="1:4" x14ac:dyDescent="0.25">
      <c r="A530" t="s">
        <v>1281</v>
      </c>
      <c r="B530" s="181" t="s">
        <v>68</v>
      </c>
      <c r="C530" t="s">
        <v>754</v>
      </c>
      <c r="D530" t="s">
        <v>745</v>
      </c>
    </row>
    <row r="531" spans="1:4" x14ac:dyDescent="0.25">
      <c r="A531" t="s">
        <v>786</v>
      </c>
      <c r="B531" s="181" t="s">
        <v>1282</v>
      </c>
      <c r="C531" t="s">
        <v>754</v>
      </c>
      <c r="D531" t="s">
        <v>749</v>
      </c>
    </row>
    <row r="532" spans="1:4" x14ac:dyDescent="0.25">
      <c r="A532" t="s">
        <v>1283</v>
      </c>
      <c r="B532" s="181" t="str">
        <f>'LONG - TERM OBLIGATIONS'!E12</f>
        <v xml:space="preserve">  Revenue  Bonds</v>
      </c>
    </row>
    <row r="533" spans="1:4" x14ac:dyDescent="0.25">
      <c r="A533" t="s">
        <v>1284</v>
      </c>
      <c r="B533" s="181" t="str">
        <f>'LONG - TERM OBLIGATIONS'!E13</f>
        <v xml:space="preserve">  Notes </v>
      </c>
    </row>
    <row r="534" spans="1:4" x14ac:dyDescent="0.25">
      <c r="A534" t="s">
        <v>1285</v>
      </c>
      <c r="B534" s="181" t="str">
        <f>'LONG - TERM OBLIGATIONS'!E15</f>
        <v>Bonds - Unamortized  Premiums/ Discounts</v>
      </c>
    </row>
    <row r="535" spans="1:4" x14ac:dyDescent="0.25">
      <c r="A535" t="s">
        <v>1294</v>
      </c>
      <c r="B535" s="181" t="s">
        <v>1298</v>
      </c>
    </row>
    <row r="536" spans="1:4" x14ac:dyDescent="0.25">
      <c r="A536" t="s">
        <v>1286</v>
      </c>
      <c r="B536" s="181" t="str">
        <f>'LONG - TERM OBLIGATIONS'!E17</f>
        <v>Claims and Judgments</v>
      </c>
    </row>
    <row r="537" spans="1:4" x14ac:dyDescent="0.25">
      <c r="A537" t="s">
        <v>1287</v>
      </c>
      <c r="B537" s="181" t="str">
        <f>'LONG - TERM OBLIGATIONS'!E18</f>
        <v>Compensated  Absences</v>
      </c>
    </row>
    <row r="538" spans="1:4" x14ac:dyDescent="0.25">
      <c r="A538" t="s">
        <v>1288</v>
      </c>
      <c r="B538" s="181" t="str">
        <f>'LONG - TERM OBLIGATIONS'!E19</f>
        <v>Supplemental Payments Liability</v>
      </c>
    </row>
    <row r="539" spans="1:4" x14ac:dyDescent="0.25">
      <c r="A539" t="s">
        <v>1289</v>
      </c>
      <c r="B539" s="181" t="str">
        <f>'LONG - TERM OBLIGATIONS'!E20</f>
        <v xml:space="preserve">Contingent Liability </v>
      </c>
    </row>
    <row r="540" spans="1:4" x14ac:dyDescent="0.25">
      <c r="A540" t="s">
        <v>1295</v>
      </c>
      <c r="B540" s="181" t="str">
        <f>'LONG - TERM OBLIGATIONS'!E21</f>
        <v xml:space="preserve">  Subtotal before Pension and OPEB   Liabilities</v>
      </c>
    </row>
    <row r="541" spans="1:4" x14ac:dyDescent="0.25">
      <c r="A541" t="s">
        <v>1290</v>
      </c>
      <c r="B541" s="181" t="str">
        <f>'LONG - TERM OBLIGATIONS'!E22</f>
        <v>Net  Pension Liability</v>
      </c>
    </row>
    <row r="542" spans="1:4" x14ac:dyDescent="0.25">
      <c r="A542" t="s">
        <v>1291</v>
      </c>
      <c r="B542" s="181" t="str">
        <f>'LONG - TERM OBLIGATIONS'!E23</f>
        <v>OPEB  Liability</v>
      </c>
    </row>
    <row r="543" spans="1:4" x14ac:dyDescent="0.25">
      <c r="A543" t="s">
        <v>1292</v>
      </c>
      <c r="B543" s="181" t="str">
        <f>'LONG - TERM OBLIGATIONS'!E24</f>
        <v xml:space="preserve">  Governmental Activity Long-term       Liabilities</v>
      </c>
    </row>
    <row r="544" spans="1:4" x14ac:dyDescent="0.25">
      <c r="A544" t="s">
        <v>1824</v>
      </c>
      <c r="B544" s="181" t="str">
        <f>'LONG - TERM OBLIGATIONS'!E28</f>
        <v xml:space="preserve">  Revenue Bonds</v>
      </c>
    </row>
    <row r="545" spans="1:5" x14ac:dyDescent="0.25">
      <c r="A545" t="s">
        <v>1830</v>
      </c>
      <c r="B545" s="181" t="str">
        <f>'LONG - TERM OBLIGATIONS'!E29</f>
        <v xml:space="preserve">  Notes</v>
      </c>
    </row>
    <row r="546" spans="1:5" x14ac:dyDescent="0.25">
      <c r="A546" t="s">
        <v>1829</v>
      </c>
      <c r="B546" s="181" t="s">
        <v>1277</v>
      </c>
    </row>
    <row r="547" spans="1:5" x14ac:dyDescent="0.25">
      <c r="A547" t="s">
        <v>1846</v>
      </c>
      <c r="B547" s="181" t="s">
        <v>83</v>
      </c>
    </row>
    <row r="548" spans="1:5" x14ac:dyDescent="0.25">
      <c r="A548" t="s">
        <v>1826</v>
      </c>
      <c r="B548" s="181" t="str">
        <f>'LONG - TERM OBLIGATIONS'!E33</f>
        <v xml:space="preserve">  Total Bonds, Notes Payable</v>
      </c>
    </row>
    <row r="549" spans="1:5" x14ac:dyDescent="0.25">
      <c r="A549" t="s">
        <v>1831</v>
      </c>
      <c r="B549" s="181" t="str">
        <f>'LONG - TERM OBLIGATIONS'!E34</f>
        <v>Compensated Absences</v>
      </c>
    </row>
    <row r="550" spans="1:5" x14ac:dyDescent="0.25">
      <c r="A550" t="s">
        <v>1825</v>
      </c>
      <c r="B550" s="181" t="str">
        <f>'LONG - TERM OBLIGATIONS'!E35</f>
        <v xml:space="preserve">  Subtotal before Pension and OPEB        Liabilities</v>
      </c>
    </row>
    <row r="551" spans="1:5" x14ac:dyDescent="0.25">
      <c r="A551" t="s">
        <v>1828</v>
      </c>
      <c r="B551" s="181" t="str">
        <f>'LONG - TERM OBLIGATIONS'!E36</f>
        <v>Net  Pension  Liability</v>
      </c>
    </row>
    <row r="552" spans="1:5" x14ac:dyDescent="0.25">
      <c r="A552" t="s">
        <v>1827</v>
      </c>
      <c r="B552" s="181" t="str">
        <f>'LONG - TERM OBLIGATIONS'!E37</f>
        <v xml:space="preserve">OPEB  Liability </v>
      </c>
    </row>
    <row r="553" spans="1:5" x14ac:dyDescent="0.25">
      <c r="A553" t="s">
        <v>1293</v>
      </c>
      <c r="B553" s="181" t="str">
        <f>'LONG - TERM OBLIGATIONS'!E38</f>
        <v xml:space="preserve">  Business Type Activity Long-term   Liabilities</v>
      </c>
    </row>
    <row r="554" spans="1:5" ht="18.75" x14ac:dyDescent="0.3">
      <c r="A554" s="354" t="s">
        <v>386</v>
      </c>
      <c r="B554" s="354"/>
      <c r="C554" s="354"/>
      <c r="D554" s="354"/>
      <c r="E554" s="354"/>
    </row>
    <row r="555" spans="1:5" x14ac:dyDescent="0.25">
      <c r="A555" t="s">
        <v>1305</v>
      </c>
      <c r="B555" t="s">
        <v>90</v>
      </c>
      <c r="C555" t="s">
        <v>754</v>
      </c>
      <c r="D555" t="s">
        <v>745</v>
      </c>
    </row>
    <row r="556" spans="1:5" x14ac:dyDescent="0.25">
      <c r="A556" t="s">
        <v>1306</v>
      </c>
      <c r="B556" t="s">
        <v>91</v>
      </c>
      <c r="C556" t="s">
        <v>754</v>
      </c>
      <c r="D556" t="s">
        <v>745</v>
      </c>
    </row>
    <row r="557" spans="1:5" x14ac:dyDescent="0.25">
      <c r="A557" t="s">
        <v>1307</v>
      </c>
      <c r="B557" t="s">
        <v>92</v>
      </c>
      <c r="C557" t="s">
        <v>754</v>
      </c>
      <c r="D557" t="s">
        <v>745</v>
      </c>
    </row>
    <row r="558" spans="1:5" x14ac:dyDescent="0.25">
      <c r="A558" t="s">
        <v>1308</v>
      </c>
      <c r="B558" t="s">
        <v>93</v>
      </c>
      <c r="C558" t="s">
        <v>754</v>
      </c>
      <c r="D558" t="s">
        <v>745</v>
      </c>
    </row>
    <row r="559" spans="1:5" x14ac:dyDescent="0.25">
      <c r="A559" t="s">
        <v>1309</v>
      </c>
      <c r="B559" t="s">
        <v>94</v>
      </c>
      <c r="C559" t="s">
        <v>754</v>
      </c>
      <c r="D559" t="s">
        <v>745</v>
      </c>
    </row>
    <row r="560" spans="1:5" x14ac:dyDescent="0.25">
      <c r="A560" t="s">
        <v>1310</v>
      </c>
      <c r="B560" t="str">
        <f>'RSI Employees'' Retirement'!D16</f>
        <v>Benefit payments, including  refunds  of member contributions</v>
      </c>
      <c r="C560" t="s">
        <v>754</v>
      </c>
      <c r="D560" t="s">
        <v>745</v>
      </c>
    </row>
    <row r="561" spans="1:4" x14ac:dyDescent="0.25">
      <c r="A561" t="s">
        <v>1311</v>
      </c>
      <c r="B561" t="s">
        <v>96</v>
      </c>
      <c r="C561" t="s">
        <v>754</v>
      </c>
      <c r="D561" t="s">
        <v>745</v>
      </c>
    </row>
    <row r="562" spans="1:4" x14ac:dyDescent="0.25">
      <c r="A562" t="s">
        <v>1312</v>
      </c>
      <c r="B562" t="s">
        <v>97</v>
      </c>
      <c r="C562" t="s">
        <v>754</v>
      </c>
      <c r="D562" t="s">
        <v>749</v>
      </c>
    </row>
    <row r="563" spans="1:4" x14ac:dyDescent="0.25">
      <c r="A563" t="s">
        <v>1312</v>
      </c>
      <c r="B563" t="s">
        <v>98</v>
      </c>
      <c r="C563" t="s">
        <v>754</v>
      </c>
      <c r="D563" t="s">
        <v>749</v>
      </c>
    </row>
    <row r="564" spans="1:4" x14ac:dyDescent="0.25">
      <c r="A564" t="s">
        <v>1313</v>
      </c>
      <c r="B564" t="s">
        <v>100</v>
      </c>
      <c r="C564" t="s">
        <v>754</v>
      </c>
      <c r="D564" t="s">
        <v>745</v>
      </c>
    </row>
    <row r="565" spans="1:4" x14ac:dyDescent="0.25">
      <c r="A565" t="s">
        <v>1314</v>
      </c>
      <c r="B565" t="s">
        <v>101</v>
      </c>
      <c r="C565" t="s">
        <v>754</v>
      </c>
      <c r="D565" t="s">
        <v>745</v>
      </c>
    </row>
    <row r="566" spans="1:4" x14ac:dyDescent="0.25">
      <c r="A566" t="s">
        <v>1315</v>
      </c>
      <c r="B566" t="s">
        <v>102</v>
      </c>
      <c r="C566" t="s">
        <v>754</v>
      </c>
      <c r="D566" t="s">
        <v>745</v>
      </c>
    </row>
    <row r="567" spans="1:4" x14ac:dyDescent="0.25">
      <c r="A567" t="s">
        <v>1316</v>
      </c>
      <c r="B567" t="str">
        <f>'RSI Employees'' Retirement'!D24</f>
        <v xml:space="preserve">Net investment income </v>
      </c>
      <c r="C567" t="s">
        <v>754</v>
      </c>
      <c r="D567" t="s">
        <v>745</v>
      </c>
    </row>
    <row r="568" spans="1:4" x14ac:dyDescent="0.25">
      <c r="A568" t="s">
        <v>1317</v>
      </c>
      <c r="B568" t="str">
        <f>'RSI Employees'' Retirement'!D25</f>
        <v>Benefit payments, including refunds of member contributions</v>
      </c>
      <c r="C568" t="s">
        <v>754</v>
      </c>
      <c r="D568" t="s">
        <v>745</v>
      </c>
    </row>
    <row r="569" spans="1:4" x14ac:dyDescent="0.25">
      <c r="A569" t="s">
        <v>1318</v>
      </c>
      <c r="B569" t="s">
        <v>103</v>
      </c>
      <c r="C569" t="s">
        <v>754</v>
      </c>
      <c r="D569" t="s">
        <v>745</v>
      </c>
    </row>
    <row r="570" spans="1:4" x14ac:dyDescent="0.25">
      <c r="A570" t="s">
        <v>1319</v>
      </c>
      <c r="B570" t="s">
        <v>1415</v>
      </c>
      <c r="C570" t="s">
        <v>754</v>
      </c>
      <c r="D570" t="s">
        <v>745</v>
      </c>
    </row>
    <row r="571" spans="1:4" x14ac:dyDescent="0.25">
      <c r="A571" t="s">
        <v>1320</v>
      </c>
      <c r="B571" t="s">
        <v>104</v>
      </c>
      <c r="C571" t="s">
        <v>754</v>
      </c>
      <c r="D571" t="s">
        <v>745</v>
      </c>
    </row>
    <row r="572" spans="1:4" x14ac:dyDescent="0.25">
      <c r="A572" t="s">
        <v>1321</v>
      </c>
      <c r="B572" t="s">
        <v>105</v>
      </c>
      <c r="C572" t="s">
        <v>754</v>
      </c>
      <c r="D572" t="s">
        <v>749</v>
      </c>
    </row>
    <row r="573" spans="1:4" x14ac:dyDescent="0.25">
      <c r="A573" t="s">
        <v>1321</v>
      </c>
      <c r="B573" t="s">
        <v>106</v>
      </c>
      <c r="C573" t="s">
        <v>754</v>
      </c>
      <c r="D573" t="s">
        <v>749</v>
      </c>
    </row>
    <row r="574" spans="1:4" x14ac:dyDescent="0.25">
      <c r="A574" t="s">
        <v>1322</v>
      </c>
      <c r="B574" t="s">
        <v>107</v>
      </c>
      <c r="C574" t="s">
        <v>754</v>
      </c>
      <c r="D574" t="s">
        <v>749</v>
      </c>
    </row>
    <row r="575" spans="1:4" x14ac:dyDescent="0.25">
      <c r="A575" t="s">
        <v>1323</v>
      </c>
      <c r="B575" t="s">
        <v>108</v>
      </c>
      <c r="C575" t="s">
        <v>1326</v>
      </c>
      <c r="D575" t="s">
        <v>749</v>
      </c>
    </row>
    <row r="576" spans="1:4" x14ac:dyDescent="0.25">
      <c r="A576" t="s">
        <v>1324</v>
      </c>
      <c r="B576" t="s">
        <v>109</v>
      </c>
      <c r="C576" t="s">
        <v>754</v>
      </c>
      <c r="D576" t="s">
        <v>745</v>
      </c>
    </row>
    <row r="577" spans="1:5" x14ac:dyDescent="0.25">
      <c r="A577" t="s">
        <v>1325</v>
      </c>
      <c r="B577" t="s">
        <v>110</v>
      </c>
      <c r="C577" t="s">
        <v>1326</v>
      </c>
      <c r="D577" t="s">
        <v>749</v>
      </c>
    </row>
    <row r="578" spans="1:5" ht="18.75" x14ac:dyDescent="0.3">
      <c r="A578" s="354" t="s">
        <v>387</v>
      </c>
      <c r="B578" s="354"/>
      <c r="C578" s="354"/>
      <c r="D578" s="354"/>
      <c r="E578" s="354"/>
    </row>
    <row r="579" spans="1:5" x14ac:dyDescent="0.25">
      <c r="A579" t="s">
        <v>1327</v>
      </c>
      <c r="B579" t="s">
        <v>1348</v>
      </c>
      <c r="C579" t="s">
        <v>754</v>
      </c>
      <c r="D579" t="s">
        <v>745</v>
      </c>
    </row>
    <row r="580" spans="1:5" x14ac:dyDescent="0.25">
      <c r="A580" t="s">
        <v>1328</v>
      </c>
      <c r="B580" t="s">
        <v>1349</v>
      </c>
      <c r="C580" t="s">
        <v>754</v>
      </c>
      <c r="D580" t="s">
        <v>745</v>
      </c>
    </row>
    <row r="581" spans="1:5" x14ac:dyDescent="0.25">
      <c r="A581" t="s">
        <v>1329</v>
      </c>
      <c r="B581" t="s">
        <v>1350</v>
      </c>
      <c r="C581" t="s">
        <v>754</v>
      </c>
      <c r="D581" t="s">
        <v>745</v>
      </c>
    </row>
    <row r="582" spans="1:5" x14ac:dyDescent="0.25">
      <c r="A582" t="s">
        <v>1330</v>
      </c>
      <c r="B582" t="s">
        <v>1351</v>
      </c>
      <c r="C582" t="s">
        <v>754</v>
      </c>
      <c r="D582" t="s">
        <v>745</v>
      </c>
    </row>
    <row r="583" spans="1:5" x14ac:dyDescent="0.25">
      <c r="A583" t="s">
        <v>1331</v>
      </c>
      <c r="B583" t="s">
        <v>1352</v>
      </c>
      <c r="C583" t="s">
        <v>754</v>
      </c>
      <c r="D583" t="s">
        <v>745</v>
      </c>
    </row>
    <row r="584" spans="1:5" x14ac:dyDescent="0.25">
      <c r="A584" t="s">
        <v>1332</v>
      </c>
      <c r="B584" t="s">
        <v>1353</v>
      </c>
      <c r="C584" t="s">
        <v>754</v>
      </c>
      <c r="D584" t="s">
        <v>745</v>
      </c>
    </row>
    <row r="585" spans="1:5" x14ac:dyDescent="0.25">
      <c r="A585" t="s">
        <v>1333</v>
      </c>
      <c r="B585" t="s">
        <v>1354</v>
      </c>
      <c r="C585" t="s">
        <v>754</v>
      </c>
      <c r="D585" t="s">
        <v>745</v>
      </c>
    </row>
    <row r="586" spans="1:5" x14ac:dyDescent="0.25">
      <c r="A586" t="s">
        <v>1334</v>
      </c>
      <c r="B586" t="s">
        <v>1355</v>
      </c>
      <c r="C586" t="s">
        <v>754</v>
      </c>
      <c r="D586" t="s">
        <v>749</v>
      </c>
    </row>
    <row r="587" spans="1:5" x14ac:dyDescent="0.25">
      <c r="A587" t="s">
        <v>1334</v>
      </c>
      <c r="B587" t="s">
        <v>1356</v>
      </c>
      <c r="C587" t="s">
        <v>754</v>
      </c>
      <c r="D587" t="s">
        <v>749</v>
      </c>
    </row>
    <row r="588" spans="1:5" x14ac:dyDescent="0.25">
      <c r="A588" t="s">
        <v>1335</v>
      </c>
      <c r="B588" t="s">
        <v>1357</v>
      </c>
      <c r="C588" t="s">
        <v>754</v>
      </c>
      <c r="D588" t="s">
        <v>745</v>
      </c>
    </row>
    <row r="589" spans="1:5" x14ac:dyDescent="0.25">
      <c r="A589" t="s">
        <v>1336</v>
      </c>
      <c r="B589" t="s">
        <v>1358</v>
      </c>
      <c r="C589" t="s">
        <v>754</v>
      </c>
      <c r="D589" t="s">
        <v>745</v>
      </c>
    </row>
    <row r="590" spans="1:5" x14ac:dyDescent="0.25">
      <c r="A590" t="s">
        <v>1337</v>
      </c>
      <c r="B590" t="s">
        <v>1359</v>
      </c>
      <c r="C590" t="s">
        <v>754</v>
      </c>
      <c r="D590" t="s">
        <v>745</v>
      </c>
    </row>
    <row r="591" spans="1:5" x14ac:dyDescent="0.25">
      <c r="A591" t="s">
        <v>1338</v>
      </c>
      <c r="B591" t="s">
        <v>1360</v>
      </c>
      <c r="C591" t="s">
        <v>754</v>
      </c>
      <c r="D591" t="s">
        <v>745</v>
      </c>
    </row>
    <row r="592" spans="1:5" x14ac:dyDescent="0.25">
      <c r="A592" t="s">
        <v>1339</v>
      </c>
      <c r="B592" t="s">
        <v>1361</v>
      </c>
      <c r="C592" t="s">
        <v>754</v>
      </c>
      <c r="D592" t="s">
        <v>745</v>
      </c>
    </row>
    <row r="593" spans="1:5" x14ac:dyDescent="0.25">
      <c r="A593" t="s">
        <v>1340</v>
      </c>
      <c r="B593" t="s">
        <v>1362</v>
      </c>
      <c r="C593" t="s">
        <v>754</v>
      </c>
      <c r="D593" t="s">
        <v>745</v>
      </c>
    </row>
    <row r="594" spans="1:5" x14ac:dyDescent="0.25">
      <c r="A594" t="s">
        <v>1341</v>
      </c>
      <c r="B594" t="s">
        <v>1363</v>
      </c>
      <c r="C594" t="s">
        <v>754</v>
      </c>
      <c r="D594" t="s">
        <v>745</v>
      </c>
    </row>
    <row r="595" spans="1:5" x14ac:dyDescent="0.25">
      <c r="A595" t="s">
        <v>1342</v>
      </c>
      <c r="B595" t="s">
        <v>1364</v>
      </c>
      <c r="C595" t="s">
        <v>754</v>
      </c>
      <c r="D595" t="s">
        <v>745</v>
      </c>
    </row>
    <row r="596" spans="1:5" x14ac:dyDescent="0.25">
      <c r="A596" t="s">
        <v>1343</v>
      </c>
      <c r="B596" t="s">
        <v>1365</v>
      </c>
      <c r="C596" t="s">
        <v>754</v>
      </c>
      <c r="D596" t="s">
        <v>749</v>
      </c>
    </row>
    <row r="597" spans="1:5" x14ac:dyDescent="0.25">
      <c r="A597" t="s">
        <v>1343</v>
      </c>
      <c r="B597" t="s">
        <v>1366</v>
      </c>
      <c r="C597" t="s">
        <v>754</v>
      </c>
      <c r="D597" t="s">
        <v>749</v>
      </c>
    </row>
    <row r="598" spans="1:5" x14ac:dyDescent="0.25">
      <c r="A598" t="s">
        <v>1344</v>
      </c>
      <c r="B598" t="s">
        <v>113</v>
      </c>
      <c r="C598" t="s">
        <v>754</v>
      </c>
      <c r="D598" t="s">
        <v>749</v>
      </c>
    </row>
    <row r="599" spans="1:5" x14ac:dyDescent="0.25">
      <c r="A599" t="s">
        <v>1345</v>
      </c>
      <c r="B599" t="s">
        <v>114</v>
      </c>
      <c r="C599" t="s">
        <v>1326</v>
      </c>
      <c r="D599" t="s">
        <v>749</v>
      </c>
    </row>
    <row r="600" spans="1:5" x14ac:dyDescent="0.25">
      <c r="A600" t="s">
        <v>1346</v>
      </c>
      <c r="B600" t="s">
        <v>1367</v>
      </c>
      <c r="C600" t="s">
        <v>754</v>
      </c>
      <c r="D600" t="s">
        <v>745</v>
      </c>
    </row>
    <row r="601" spans="1:5" x14ac:dyDescent="0.25">
      <c r="A601" t="s">
        <v>1347</v>
      </c>
      <c r="B601" t="s">
        <v>115</v>
      </c>
      <c r="C601" t="s">
        <v>1326</v>
      </c>
      <c r="D601" t="s">
        <v>749</v>
      </c>
    </row>
    <row r="602" spans="1:5" ht="18.75" x14ac:dyDescent="0.3">
      <c r="A602" s="354" t="s">
        <v>1368</v>
      </c>
      <c r="B602" s="354"/>
      <c r="C602" s="354"/>
      <c r="D602" s="354"/>
      <c r="E602" s="354"/>
    </row>
    <row r="603" spans="1:5" x14ac:dyDescent="0.25">
      <c r="A603" t="s">
        <v>1369</v>
      </c>
      <c r="B603" t="s">
        <v>1390</v>
      </c>
      <c r="C603" t="s">
        <v>754</v>
      </c>
      <c r="D603" t="s">
        <v>745</v>
      </c>
    </row>
    <row r="604" spans="1:5" x14ac:dyDescent="0.25">
      <c r="A604" t="s">
        <v>1370</v>
      </c>
      <c r="B604" t="s">
        <v>1391</v>
      </c>
      <c r="C604" t="s">
        <v>754</v>
      </c>
      <c r="D604" t="s">
        <v>745</v>
      </c>
    </row>
    <row r="605" spans="1:5" x14ac:dyDescent="0.25">
      <c r="A605" t="s">
        <v>1371</v>
      </c>
      <c r="B605" t="s">
        <v>1392</v>
      </c>
      <c r="C605" t="s">
        <v>754</v>
      </c>
      <c r="D605" t="s">
        <v>745</v>
      </c>
    </row>
    <row r="606" spans="1:5" x14ac:dyDescent="0.25">
      <c r="A606" t="s">
        <v>1372</v>
      </c>
      <c r="B606" t="s">
        <v>1393</v>
      </c>
      <c r="C606" t="s">
        <v>754</v>
      </c>
      <c r="D606" t="s">
        <v>745</v>
      </c>
    </row>
    <row r="607" spans="1:5" x14ac:dyDescent="0.25">
      <c r="A607" t="s">
        <v>1373</v>
      </c>
      <c r="B607" t="s">
        <v>1394</v>
      </c>
      <c r="C607" t="s">
        <v>754</v>
      </c>
      <c r="D607" t="s">
        <v>745</v>
      </c>
    </row>
    <row r="608" spans="1:5" x14ac:dyDescent="0.25">
      <c r="A608" t="s">
        <v>1374</v>
      </c>
      <c r="B608" t="s">
        <v>1395</v>
      </c>
      <c r="C608" t="s">
        <v>754</v>
      </c>
      <c r="D608" t="s">
        <v>745</v>
      </c>
    </row>
    <row r="609" spans="1:4" x14ac:dyDescent="0.25">
      <c r="A609" t="s">
        <v>1375</v>
      </c>
      <c r="B609" t="s">
        <v>1396</v>
      </c>
      <c r="C609" t="s">
        <v>754</v>
      </c>
      <c r="D609" t="s">
        <v>745</v>
      </c>
    </row>
    <row r="610" spans="1:4" x14ac:dyDescent="0.25">
      <c r="A610" t="s">
        <v>1376</v>
      </c>
      <c r="B610" t="s">
        <v>1397</v>
      </c>
      <c r="C610" t="s">
        <v>754</v>
      </c>
      <c r="D610" t="s">
        <v>749</v>
      </c>
    </row>
    <row r="611" spans="1:4" x14ac:dyDescent="0.25">
      <c r="A611" t="s">
        <v>1376</v>
      </c>
      <c r="B611" t="s">
        <v>1398</v>
      </c>
      <c r="C611" t="s">
        <v>754</v>
      </c>
      <c r="D611" t="s">
        <v>749</v>
      </c>
    </row>
    <row r="612" spans="1:4" x14ac:dyDescent="0.25">
      <c r="A612" t="s">
        <v>1377</v>
      </c>
      <c r="B612" t="s">
        <v>1399</v>
      </c>
      <c r="C612" t="s">
        <v>754</v>
      </c>
      <c r="D612" t="s">
        <v>745</v>
      </c>
    </row>
    <row r="613" spans="1:4" x14ac:dyDescent="0.25">
      <c r="A613" t="s">
        <v>1378</v>
      </c>
      <c r="B613" t="s">
        <v>1400</v>
      </c>
      <c r="C613" t="s">
        <v>754</v>
      </c>
      <c r="D613" t="s">
        <v>745</v>
      </c>
    </row>
    <row r="614" spans="1:4" x14ac:dyDescent="0.25">
      <c r="A614" t="s">
        <v>1379</v>
      </c>
      <c r="B614" t="s">
        <v>1401</v>
      </c>
      <c r="C614" t="s">
        <v>754</v>
      </c>
      <c r="D614" t="s">
        <v>745</v>
      </c>
    </row>
    <row r="615" spans="1:4" x14ac:dyDescent="0.25">
      <c r="A615" t="s">
        <v>1380</v>
      </c>
      <c r="B615" t="s">
        <v>1402</v>
      </c>
      <c r="C615" t="s">
        <v>754</v>
      </c>
      <c r="D615" t="s">
        <v>745</v>
      </c>
    </row>
    <row r="616" spans="1:4" x14ac:dyDescent="0.25">
      <c r="A616" t="s">
        <v>1381</v>
      </c>
      <c r="B616" t="s">
        <v>1403</v>
      </c>
      <c r="C616" t="s">
        <v>754</v>
      </c>
      <c r="D616" t="s">
        <v>745</v>
      </c>
    </row>
    <row r="617" spans="1:4" x14ac:dyDescent="0.25">
      <c r="A617" t="s">
        <v>1382</v>
      </c>
      <c r="B617" t="s">
        <v>1404</v>
      </c>
      <c r="C617" t="s">
        <v>754</v>
      </c>
      <c r="D617" t="s">
        <v>745</v>
      </c>
    </row>
    <row r="618" spans="1:4" x14ac:dyDescent="0.25">
      <c r="A618" t="s">
        <v>1383</v>
      </c>
      <c r="B618" t="s">
        <v>1405</v>
      </c>
      <c r="C618" t="s">
        <v>754</v>
      </c>
      <c r="D618" t="s">
        <v>745</v>
      </c>
    </row>
    <row r="619" spans="1:4" x14ac:dyDescent="0.25">
      <c r="A619" t="s">
        <v>1384</v>
      </c>
      <c r="B619" t="s">
        <v>1406</v>
      </c>
      <c r="C619" t="s">
        <v>754</v>
      </c>
      <c r="D619" t="s">
        <v>745</v>
      </c>
    </row>
    <row r="620" spans="1:4" x14ac:dyDescent="0.25">
      <c r="A620" t="s">
        <v>1385</v>
      </c>
      <c r="B620" t="s">
        <v>1407</v>
      </c>
      <c r="C620" t="s">
        <v>754</v>
      </c>
      <c r="D620" t="s">
        <v>749</v>
      </c>
    </row>
    <row r="621" spans="1:4" x14ac:dyDescent="0.25">
      <c r="A621" t="s">
        <v>1385</v>
      </c>
      <c r="B621" t="s">
        <v>1408</v>
      </c>
      <c r="C621" t="s">
        <v>754</v>
      </c>
      <c r="D621" t="s">
        <v>749</v>
      </c>
    </row>
    <row r="622" spans="1:4" x14ac:dyDescent="0.25">
      <c r="A622" t="s">
        <v>1386</v>
      </c>
      <c r="B622" t="s">
        <v>1409</v>
      </c>
      <c r="C622" t="s">
        <v>754</v>
      </c>
      <c r="D622" t="s">
        <v>749</v>
      </c>
    </row>
    <row r="623" spans="1:4" x14ac:dyDescent="0.25">
      <c r="A623" t="s">
        <v>1387</v>
      </c>
      <c r="B623" t="s">
        <v>1410</v>
      </c>
      <c r="C623" t="s">
        <v>1326</v>
      </c>
      <c r="D623" t="s">
        <v>749</v>
      </c>
    </row>
    <row r="624" spans="1:4" x14ac:dyDescent="0.25">
      <c r="A624" t="s">
        <v>1388</v>
      </c>
      <c r="B624" t="s">
        <v>1411</v>
      </c>
      <c r="C624" t="s">
        <v>754</v>
      </c>
      <c r="D624" t="s">
        <v>745</v>
      </c>
    </row>
    <row r="625" spans="1:5" x14ac:dyDescent="0.25">
      <c r="A625" t="s">
        <v>1389</v>
      </c>
      <c r="B625" t="s">
        <v>1412</v>
      </c>
      <c r="C625" t="s">
        <v>1326</v>
      </c>
      <c r="D625" t="s">
        <v>749</v>
      </c>
    </row>
    <row r="626" spans="1:5" ht="18.75" x14ac:dyDescent="0.3">
      <c r="A626" s="354" t="s">
        <v>389</v>
      </c>
      <c r="B626" s="354"/>
      <c r="C626" s="354"/>
      <c r="D626" s="354"/>
      <c r="E626" s="354"/>
    </row>
    <row r="627" spans="1:5" x14ac:dyDescent="0.25">
      <c r="A627" t="s">
        <v>1416</v>
      </c>
      <c r="B627" t="s">
        <v>119</v>
      </c>
      <c r="C627" t="s">
        <v>748</v>
      </c>
      <c r="D627" t="s">
        <v>749</v>
      </c>
    </row>
    <row r="628" spans="1:5" x14ac:dyDescent="0.25">
      <c r="A628" t="s">
        <v>1417</v>
      </c>
      <c r="B628" t="s">
        <v>120</v>
      </c>
      <c r="C628" t="s">
        <v>744</v>
      </c>
      <c r="D628" t="s">
        <v>745</v>
      </c>
    </row>
    <row r="629" spans="1:5" x14ac:dyDescent="0.25">
      <c r="A629" t="s">
        <v>1418</v>
      </c>
      <c r="B629" t="s">
        <v>121</v>
      </c>
      <c r="C629" t="s">
        <v>754</v>
      </c>
      <c r="D629" t="s">
        <v>745</v>
      </c>
    </row>
    <row r="630" spans="1:5" x14ac:dyDescent="0.25">
      <c r="A630" t="s">
        <v>1419</v>
      </c>
      <c r="B630" t="s">
        <v>122</v>
      </c>
      <c r="C630" t="s">
        <v>754</v>
      </c>
      <c r="D630" t="s">
        <v>745</v>
      </c>
    </row>
    <row r="631" spans="1:5" x14ac:dyDescent="0.25">
      <c r="A631" t="s">
        <v>1420</v>
      </c>
      <c r="B631" t="s">
        <v>123</v>
      </c>
      <c r="C631" t="s">
        <v>754</v>
      </c>
      <c r="D631" t="s">
        <v>745</v>
      </c>
    </row>
    <row r="632" spans="1:5" x14ac:dyDescent="0.25">
      <c r="A632" t="s">
        <v>1324</v>
      </c>
      <c r="B632" t="s">
        <v>1448</v>
      </c>
      <c r="C632" t="s">
        <v>754</v>
      </c>
      <c r="D632" t="s">
        <v>745</v>
      </c>
    </row>
    <row r="633" spans="1:5" x14ac:dyDescent="0.25">
      <c r="A633" t="s">
        <v>1421</v>
      </c>
      <c r="B633" t="s">
        <v>124</v>
      </c>
      <c r="C633" t="s">
        <v>1326</v>
      </c>
      <c r="D633" t="s">
        <v>745</v>
      </c>
    </row>
    <row r="634" spans="1:5" x14ac:dyDescent="0.25">
      <c r="A634" t="s">
        <v>1422</v>
      </c>
      <c r="B634" t="s">
        <v>1434</v>
      </c>
      <c r="C634" t="s">
        <v>748</v>
      </c>
      <c r="D634" t="s">
        <v>749</v>
      </c>
    </row>
    <row r="635" spans="1:5" x14ac:dyDescent="0.25">
      <c r="A635" t="s">
        <v>1423</v>
      </c>
      <c r="B635" t="s">
        <v>1435</v>
      </c>
      <c r="C635" t="s">
        <v>744</v>
      </c>
      <c r="D635" t="s">
        <v>745</v>
      </c>
    </row>
    <row r="636" spans="1:5" x14ac:dyDescent="0.25">
      <c r="A636" t="s">
        <v>1424</v>
      </c>
      <c r="B636" t="s">
        <v>1436</v>
      </c>
      <c r="C636" t="s">
        <v>754</v>
      </c>
      <c r="D636" t="s">
        <v>745</v>
      </c>
    </row>
    <row r="637" spans="1:5" x14ac:dyDescent="0.25">
      <c r="A637" t="s">
        <v>1425</v>
      </c>
      <c r="B637" t="s">
        <v>1437</v>
      </c>
      <c r="C637" t="s">
        <v>754</v>
      </c>
      <c r="D637" t="s">
        <v>745</v>
      </c>
    </row>
    <row r="638" spans="1:5" x14ac:dyDescent="0.25">
      <c r="A638" t="s">
        <v>1426</v>
      </c>
      <c r="B638" t="s">
        <v>1438</v>
      </c>
      <c r="C638" t="s">
        <v>754</v>
      </c>
      <c r="D638" t="s">
        <v>745</v>
      </c>
    </row>
    <row r="639" spans="1:5" x14ac:dyDescent="0.25">
      <c r="A639" t="s">
        <v>1346</v>
      </c>
      <c r="B639" t="s">
        <v>1440</v>
      </c>
      <c r="C639" t="s">
        <v>754</v>
      </c>
      <c r="D639" t="s">
        <v>745</v>
      </c>
    </row>
    <row r="640" spans="1:5" x14ac:dyDescent="0.25">
      <c r="A640" t="s">
        <v>1427</v>
      </c>
      <c r="B640" t="s">
        <v>1439</v>
      </c>
      <c r="C640" t="s">
        <v>1326</v>
      </c>
      <c r="D640" t="s">
        <v>745</v>
      </c>
    </row>
    <row r="641" spans="1:5" x14ac:dyDescent="0.25">
      <c r="A641" t="s">
        <v>1428</v>
      </c>
      <c r="B641" t="s">
        <v>1441</v>
      </c>
      <c r="C641" t="s">
        <v>748</v>
      </c>
      <c r="D641" t="s">
        <v>749</v>
      </c>
    </row>
    <row r="642" spans="1:5" x14ac:dyDescent="0.25">
      <c r="A642" t="s">
        <v>1429</v>
      </c>
      <c r="B642" t="s">
        <v>1442</v>
      </c>
      <c r="C642" t="s">
        <v>744</v>
      </c>
      <c r="D642" t="s">
        <v>745</v>
      </c>
    </row>
    <row r="643" spans="1:5" x14ac:dyDescent="0.25">
      <c r="A643" t="s">
        <v>1430</v>
      </c>
      <c r="B643" t="s">
        <v>1443</v>
      </c>
      <c r="C643" t="s">
        <v>754</v>
      </c>
      <c r="D643" t="s">
        <v>745</v>
      </c>
    </row>
    <row r="644" spans="1:5" x14ac:dyDescent="0.25">
      <c r="A644" t="s">
        <v>1431</v>
      </c>
      <c r="B644" t="s">
        <v>1444</v>
      </c>
      <c r="C644" t="s">
        <v>754</v>
      </c>
      <c r="D644" t="s">
        <v>745</v>
      </c>
    </row>
    <row r="645" spans="1:5" x14ac:dyDescent="0.25">
      <c r="A645" t="s">
        <v>1432</v>
      </c>
      <c r="B645" t="s">
        <v>1445</v>
      </c>
      <c r="C645" t="s">
        <v>754</v>
      </c>
      <c r="D645" t="s">
        <v>745</v>
      </c>
    </row>
    <row r="646" spans="1:5" x14ac:dyDescent="0.25">
      <c r="A646" t="s">
        <v>1388</v>
      </c>
      <c r="B646" t="s">
        <v>1446</v>
      </c>
      <c r="C646" t="s">
        <v>754</v>
      </c>
      <c r="D646" t="s">
        <v>745</v>
      </c>
    </row>
    <row r="647" spans="1:5" x14ac:dyDescent="0.25">
      <c r="A647" t="s">
        <v>1433</v>
      </c>
      <c r="B647" t="s">
        <v>1447</v>
      </c>
      <c r="C647" t="s">
        <v>1326</v>
      </c>
      <c r="D647" t="s">
        <v>745</v>
      </c>
    </row>
    <row r="648" spans="1:5" ht="18.75" x14ac:dyDescent="0.3">
      <c r="A648" s="354" t="s">
        <v>1449</v>
      </c>
      <c r="B648" s="354"/>
      <c r="C648" s="354"/>
      <c r="D648" s="354"/>
      <c r="E648" s="354"/>
    </row>
    <row r="649" spans="1:5" x14ac:dyDescent="0.25">
      <c r="A649" t="s">
        <v>1450</v>
      </c>
      <c r="B649" t="s">
        <v>128</v>
      </c>
      <c r="C649" t="s">
        <v>754</v>
      </c>
      <c r="D649" t="s">
        <v>749</v>
      </c>
    </row>
    <row r="650" spans="1:5" x14ac:dyDescent="0.25">
      <c r="A650" t="s">
        <v>1451</v>
      </c>
      <c r="B650" t="s">
        <v>129</v>
      </c>
      <c r="C650" t="s">
        <v>754</v>
      </c>
      <c r="D650" t="s">
        <v>749</v>
      </c>
    </row>
    <row r="651" spans="1:5" x14ac:dyDescent="0.25">
      <c r="A651" t="s">
        <v>1452</v>
      </c>
      <c r="B651" t="s">
        <v>130</v>
      </c>
      <c r="C651" t="s">
        <v>754</v>
      </c>
      <c r="D651" t="s">
        <v>749</v>
      </c>
    </row>
    <row r="652" spans="1:5" x14ac:dyDescent="0.25">
      <c r="A652" t="s">
        <v>1453</v>
      </c>
      <c r="B652" t="s">
        <v>131</v>
      </c>
      <c r="C652" t="s">
        <v>754</v>
      </c>
      <c r="D652" t="s">
        <v>749</v>
      </c>
    </row>
    <row r="653" spans="1:5" x14ac:dyDescent="0.25">
      <c r="A653" t="s">
        <v>1454</v>
      </c>
      <c r="B653" t="s">
        <v>1462</v>
      </c>
      <c r="C653" t="s">
        <v>754</v>
      </c>
      <c r="D653" t="s">
        <v>749</v>
      </c>
    </row>
    <row r="654" spans="1:5" x14ac:dyDescent="0.25">
      <c r="A654" t="s">
        <v>1455</v>
      </c>
      <c r="B654" t="s">
        <v>1463</v>
      </c>
      <c r="C654" t="s">
        <v>754</v>
      </c>
      <c r="D654" t="s">
        <v>749</v>
      </c>
    </row>
    <row r="655" spans="1:5" x14ac:dyDescent="0.25">
      <c r="A655" t="s">
        <v>1456</v>
      </c>
      <c r="B655" t="s">
        <v>1464</v>
      </c>
      <c r="C655" t="s">
        <v>754</v>
      </c>
      <c r="D655" t="s">
        <v>749</v>
      </c>
    </row>
    <row r="656" spans="1:5" x14ac:dyDescent="0.25">
      <c r="A656" t="s">
        <v>1457</v>
      </c>
      <c r="B656" t="s">
        <v>136</v>
      </c>
      <c r="C656" t="s">
        <v>754</v>
      </c>
      <c r="D656" t="s">
        <v>749</v>
      </c>
    </row>
    <row r="657" spans="1:5" x14ac:dyDescent="0.25">
      <c r="A657" t="s">
        <v>1458</v>
      </c>
      <c r="B657" t="s">
        <v>133</v>
      </c>
      <c r="C657" t="s">
        <v>754</v>
      </c>
      <c r="D657" t="s">
        <v>749</v>
      </c>
    </row>
    <row r="658" spans="1:5" x14ac:dyDescent="0.25">
      <c r="A658" t="s">
        <v>1459</v>
      </c>
      <c r="B658" t="s">
        <v>134</v>
      </c>
      <c r="C658" t="s">
        <v>754</v>
      </c>
      <c r="D658" t="s">
        <v>749</v>
      </c>
    </row>
    <row r="659" spans="1:5" x14ac:dyDescent="0.25">
      <c r="A659" t="s">
        <v>1460</v>
      </c>
      <c r="B659" t="s">
        <v>135</v>
      </c>
      <c r="C659" t="s">
        <v>754</v>
      </c>
      <c r="D659" t="s">
        <v>749</v>
      </c>
    </row>
    <row r="660" spans="1:5" x14ac:dyDescent="0.25">
      <c r="A660" t="s">
        <v>1461</v>
      </c>
      <c r="B660" t="s">
        <v>138</v>
      </c>
      <c r="C660" t="s">
        <v>754</v>
      </c>
      <c r="D660" t="s">
        <v>749</v>
      </c>
    </row>
    <row r="661" spans="1:5" ht="18.75" x14ac:dyDescent="0.3">
      <c r="A661" s="354" t="s">
        <v>1465</v>
      </c>
      <c r="B661" s="354"/>
      <c r="C661" s="354"/>
      <c r="D661" s="354"/>
      <c r="E661" s="354"/>
    </row>
    <row r="662" spans="1:5" x14ac:dyDescent="0.25">
      <c r="A662" t="s">
        <v>1466</v>
      </c>
      <c r="B662" s="577" t="s">
        <v>1520</v>
      </c>
      <c r="C662" t="s">
        <v>754</v>
      </c>
      <c r="D662" t="s">
        <v>745</v>
      </c>
    </row>
    <row r="663" spans="1:5" x14ac:dyDescent="0.25">
      <c r="A663" t="s">
        <v>1467</v>
      </c>
      <c r="B663" t="s">
        <v>1522</v>
      </c>
      <c r="C663" t="s">
        <v>754</v>
      </c>
      <c r="D663" t="s">
        <v>745</v>
      </c>
    </row>
    <row r="664" spans="1:5" x14ac:dyDescent="0.25">
      <c r="A664" t="s">
        <v>1468</v>
      </c>
      <c r="B664" t="s">
        <v>1523</v>
      </c>
      <c r="C664" t="s">
        <v>754</v>
      </c>
      <c r="D664" t="s">
        <v>745</v>
      </c>
    </row>
    <row r="665" spans="1:5" x14ac:dyDescent="0.25">
      <c r="A665" t="s">
        <v>1469</v>
      </c>
      <c r="B665" t="s">
        <v>1524</v>
      </c>
      <c r="C665" t="s">
        <v>754</v>
      </c>
      <c r="D665" t="s">
        <v>745</v>
      </c>
    </row>
    <row r="666" spans="1:5" x14ac:dyDescent="0.25">
      <c r="A666" t="s">
        <v>1470</v>
      </c>
      <c r="B666" t="s">
        <v>474</v>
      </c>
      <c r="C666" t="s">
        <v>754</v>
      </c>
      <c r="D666" t="s">
        <v>745</v>
      </c>
    </row>
    <row r="667" spans="1:5" x14ac:dyDescent="0.25">
      <c r="A667" t="s">
        <v>1471</v>
      </c>
      <c r="B667" t="s">
        <v>1521</v>
      </c>
      <c r="C667" t="s">
        <v>754</v>
      </c>
      <c r="D667" t="s">
        <v>745</v>
      </c>
    </row>
    <row r="668" spans="1:5" x14ac:dyDescent="0.25">
      <c r="A668" t="s">
        <v>1472</v>
      </c>
      <c r="B668" t="s">
        <v>475</v>
      </c>
      <c r="C668" t="s">
        <v>754</v>
      </c>
      <c r="D668" t="s">
        <v>745</v>
      </c>
    </row>
    <row r="669" spans="1:5" x14ac:dyDescent="0.25">
      <c r="A669" t="s">
        <v>1473</v>
      </c>
      <c r="B669" t="s">
        <v>1525</v>
      </c>
      <c r="C669" t="s">
        <v>754</v>
      </c>
      <c r="D669" t="s">
        <v>745</v>
      </c>
    </row>
    <row r="670" spans="1:5" x14ac:dyDescent="0.25">
      <c r="A670" t="s">
        <v>1474</v>
      </c>
      <c r="B670" s="181" t="s">
        <v>1535</v>
      </c>
      <c r="C670" t="s">
        <v>754</v>
      </c>
      <c r="D670" t="s">
        <v>745</v>
      </c>
    </row>
    <row r="671" spans="1:5" x14ac:dyDescent="0.25">
      <c r="A671" t="s">
        <v>1475</v>
      </c>
      <c r="B671" t="s">
        <v>1536</v>
      </c>
      <c r="C671" t="s">
        <v>754</v>
      </c>
      <c r="D671" t="s">
        <v>745</v>
      </c>
    </row>
    <row r="672" spans="1:5" x14ac:dyDescent="0.25">
      <c r="A672" t="s">
        <v>1476</v>
      </c>
      <c r="B672" t="s">
        <v>1537</v>
      </c>
      <c r="C672" t="s">
        <v>754</v>
      </c>
      <c r="D672" t="s">
        <v>745</v>
      </c>
    </row>
    <row r="673" spans="1:4" x14ac:dyDescent="0.25">
      <c r="A673" t="s">
        <v>1477</v>
      </c>
      <c r="B673" t="s">
        <v>1538</v>
      </c>
      <c r="C673" t="s">
        <v>754</v>
      </c>
      <c r="D673" t="s">
        <v>745</v>
      </c>
    </row>
    <row r="674" spans="1:4" x14ac:dyDescent="0.25">
      <c r="A674" t="s">
        <v>1478</v>
      </c>
      <c r="B674" t="s">
        <v>1539</v>
      </c>
      <c r="C674" t="s">
        <v>754</v>
      </c>
      <c r="D674" t="s">
        <v>745</v>
      </c>
    </row>
    <row r="675" spans="1:4" x14ac:dyDescent="0.25">
      <c r="A675" t="s">
        <v>1479</v>
      </c>
      <c r="B675" t="s">
        <v>1540</v>
      </c>
      <c r="C675" t="s">
        <v>754</v>
      </c>
      <c r="D675" t="s">
        <v>745</v>
      </c>
    </row>
    <row r="676" spans="1:4" x14ac:dyDescent="0.25">
      <c r="A676" t="s">
        <v>1480</v>
      </c>
      <c r="B676" t="s">
        <v>1541</v>
      </c>
      <c r="C676" t="s">
        <v>754</v>
      </c>
      <c r="D676" t="s">
        <v>745</v>
      </c>
    </row>
    <row r="677" spans="1:4" x14ac:dyDescent="0.25">
      <c r="A677" t="s">
        <v>1481</v>
      </c>
      <c r="B677" t="s">
        <v>1542</v>
      </c>
      <c r="C677" t="s">
        <v>754</v>
      </c>
      <c r="D677" t="s">
        <v>745</v>
      </c>
    </row>
    <row r="678" spans="1:4" x14ac:dyDescent="0.25">
      <c r="A678" t="s">
        <v>1482</v>
      </c>
      <c r="B678" t="s">
        <v>1543</v>
      </c>
      <c r="C678" t="s">
        <v>754</v>
      </c>
      <c r="D678" t="s">
        <v>745</v>
      </c>
    </row>
    <row r="679" spans="1:4" x14ac:dyDescent="0.25">
      <c r="A679" t="s">
        <v>1483</v>
      </c>
      <c r="B679" t="s">
        <v>1544</v>
      </c>
      <c r="C679" t="s">
        <v>754</v>
      </c>
      <c r="D679" t="s">
        <v>745</v>
      </c>
    </row>
    <row r="680" spans="1:4" x14ac:dyDescent="0.25">
      <c r="A680" t="s">
        <v>1484</v>
      </c>
      <c r="B680" t="s">
        <v>1545</v>
      </c>
      <c r="C680" t="s">
        <v>754</v>
      </c>
      <c r="D680" t="s">
        <v>745</v>
      </c>
    </row>
    <row r="681" spans="1:4" x14ac:dyDescent="0.25">
      <c r="A681" t="s">
        <v>1485</v>
      </c>
      <c r="B681" t="s">
        <v>1546</v>
      </c>
      <c r="C681" t="s">
        <v>754</v>
      </c>
      <c r="D681" t="s">
        <v>745</v>
      </c>
    </row>
    <row r="682" spans="1:4" x14ac:dyDescent="0.25">
      <c r="A682" t="s">
        <v>1486</v>
      </c>
      <c r="B682" t="s">
        <v>1547</v>
      </c>
      <c r="C682" t="s">
        <v>754</v>
      </c>
      <c r="D682" t="s">
        <v>745</v>
      </c>
    </row>
    <row r="683" spans="1:4" x14ac:dyDescent="0.25">
      <c r="A683" t="s">
        <v>1487</v>
      </c>
      <c r="B683" t="s">
        <v>1548</v>
      </c>
      <c r="C683" t="s">
        <v>754</v>
      </c>
      <c r="D683" t="s">
        <v>745</v>
      </c>
    </row>
    <row r="684" spans="1:4" x14ac:dyDescent="0.25">
      <c r="A684" t="s">
        <v>1488</v>
      </c>
      <c r="B684" t="s">
        <v>1526</v>
      </c>
      <c r="C684" t="s">
        <v>754</v>
      </c>
      <c r="D684" t="s">
        <v>745</v>
      </c>
    </row>
    <row r="685" spans="1:4" x14ac:dyDescent="0.25">
      <c r="A685" t="s">
        <v>1489</v>
      </c>
      <c r="B685" t="s">
        <v>1527</v>
      </c>
      <c r="C685" t="s">
        <v>754</v>
      </c>
      <c r="D685" t="s">
        <v>745</v>
      </c>
    </row>
    <row r="686" spans="1:4" x14ac:dyDescent="0.25">
      <c r="A686" t="s">
        <v>1490</v>
      </c>
      <c r="B686" s="589" t="s">
        <v>1549</v>
      </c>
      <c r="C686" t="s">
        <v>754</v>
      </c>
      <c r="D686" t="s">
        <v>745</v>
      </c>
    </row>
    <row r="687" spans="1:4" x14ac:dyDescent="0.25">
      <c r="A687" t="s">
        <v>1491</v>
      </c>
      <c r="B687" t="s">
        <v>1550</v>
      </c>
      <c r="C687" t="s">
        <v>754</v>
      </c>
      <c r="D687" t="s">
        <v>745</v>
      </c>
    </row>
    <row r="688" spans="1:4" x14ac:dyDescent="0.25">
      <c r="A688" t="s">
        <v>1492</v>
      </c>
      <c r="B688" t="s">
        <v>1551</v>
      </c>
      <c r="C688" t="s">
        <v>754</v>
      </c>
      <c r="D688" t="s">
        <v>745</v>
      </c>
    </row>
    <row r="689" spans="1:4" x14ac:dyDescent="0.25">
      <c r="A689" t="s">
        <v>1493</v>
      </c>
      <c r="B689" t="s">
        <v>1552</v>
      </c>
      <c r="C689" t="s">
        <v>754</v>
      </c>
      <c r="D689" t="s">
        <v>745</v>
      </c>
    </row>
    <row r="690" spans="1:4" x14ac:dyDescent="0.25">
      <c r="A690" t="s">
        <v>1494</v>
      </c>
      <c r="B690" t="s">
        <v>1553</v>
      </c>
      <c r="C690" t="s">
        <v>754</v>
      </c>
      <c r="D690" t="s">
        <v>745</v>
      </c>
    </row>
    <row r="691" spans="1:4" x14ac:dyDescent="0.25">
      <c r="A691" t="s">
        <v>1495</v>
      </c>
      <c r="B691" t="s">
        <v>1528</v>
      </c>
      <c r="C691" t="s">
        <v>754</v>
      </c>
      <c r="D691" t="s">
        <v>745</v>
      </c>
    </row>
    <row r="692" spans="1:4" x14ac:dyDescent="0.25">
      <c r="A692" t="s">
        <v>1496</v>
      </c>
      <c r="B692" t="s">
        <v>1554</v>
      </c>
      <c r="C692" t="s">
        <v>754</v>
      </c>
      <c r="D692" t="s">
        <v>745</v>
      </c>
    </row>
    <row r="693" spans="1:4" x14ac:dyDescent="0.25">
      <c r="A693" t="s">
        <v>1497</v>
      </c>
      <c r="B693" t="s">
        <v>1555</v>
      </c>
      <c r="C693" t="s">
        <v>754</v>
      </c>
      <c r="D693" t="s">
        <v>745</v>
      </c>
    </row>
    <row r="694" spans="1:4" x14ac:dyDescent="0.25">
      <c r="A694" t="s">
        <v>1498</v>
      </c>
      <c r="B694" s="577" t="s">
        <v>1529</v>
      </c>
      <c r="C694" t="s">
        <v>754</v>
      </c>
      <c r="D694" t="s">
        <v>745</v>
      </c>
    </row>
    <row r="695" spans="1:4" x14ac:dyDescent="0.25">
      <c r="A695" t="s">
        <v>1499</v>
      </c>
      <c r="B695" s="577" t="s">
        <v>257</v>
      </c>
      <c r="C695" t="s">
        <v>754</v>
      </c>
      <c r="D695" t="s">
        <v>745</v>
      </c>
    </row>
    <row r="696" spans="1:4" x14ac:dyDescent="0.25">
      <c r="A696" t="s">
        <v>1500</v>
      </c>
      <c r="B696" t="s">
        <v>256</v>
      </c>
      <c r="C696" t="s">
        <v>754</v>
      </c>
      <c r="D696" t="s">
        <v>745</v>
      </c>
    </row>
    <row r="697" spans="1:4" x14ac:dyDescent="0.25">
      <c r="A697" t="s">
        <v>1501</v>
      </c>
      <c r="B697" t="s">
        <v>255</v>
      </c>
      <c r="C697" t="s">
        <v>754</v>
      </c>
      <c r="D697" t="s">
        <v>745</v>
      </c>
    </row>
    <row r="698" spans="1:4" x14ac:dyDescent="0.25">
      <c r="A698" t="s">
        <v>1502</v>
      </c>
      <c r="B698" t="s">
        <v>254</v>
      </c>
      <c r="C698" t="s">
        <v>754</v>
      </c>
      <c r="D698" t="s">
        <v>745</v>
      </c>
    </row>
    <row r="699" spans="1:4" x14ac:dyDescent="0.25">
      <c r="A699" t="s">
        <v>1503</v>
      </c>
      <c r="B699" t="s">
        <v>253</v>
      </c>
      <c r="C699" t="s">
        <v>754</v>
      </c>
      <c r="D699" t="s">
        <v>745</v>
      </c>
    </row>
    <row r="700" spans="1:4" x14ac:dyDescent="0.25">
      <c r="A700" t="s">
        <v>1504</v>
      </c>
      <c r="B700" t="s">
        <v>252</v>
      </c>
      <c r="C700" t="s">
        <v>754</v>
      </c>
      <c r="D700" t="s">
        <v>745</v>
      </c>
    </row>
    <row r="701" spans="1:4" x14ac:dyDescent="0.25">
      <c r="A701" t="s">
        <v>1505</v>
      </c>
      <c r="B701" t="s">
        <v>251</v>
      </c>
      <c r="C701" t="s">
        <v>754</v>
      </c>
      <c r="D701" t="s">
        <v>745</v>
      </c>
    </row>
    <row r="702" spans="1:4" x14ac:dyDescent="0.25">
      <c r="A702" t="s">
        <v>1506</v>
      </c>
      <c r="B702" t="s">
        <v>250</v>
      </c>
      <c r="C702" t="s">
        <v>754</v>
      </c>
      <c r="D702" t="s">
        <v>745</v>
      </c>
    </row>
    <row r="703" spans="1:4" x14ac:dyDescent="0.25">
      <c r="A703" t="s">
        <v>1507</v>
      </c>
      <c r="B703" t="s">
        <v>249</v>
      </c>
      <c r="C703" t="s">
        <v>754</v>
      </c>
      <c r="D703" t="s">
        <v>745</v>
      </c>
    </row>
    <row r="704" spans="1:4" x14ac:dyDescent="0.25">
      <c r="A704" t="s">
        <v>1508</v>
      </c>
      <c r="B704" t="s">
        <v>248</v>
      </c>
      <c r="C704" t="s">
        <v>754</v>
      </c>
      <c r="D704" t="s">
        <v>745</v>
      </c>
    </row>
    <row r="705" spans="1:5" x14ac:dyDescent="0.25">
      <c r="A705" t="s">
        <v>1509</v>
      </c>
      <c r="B705" t="s">
        <v>247</v>
      </c>
      <c r="C705" t="s">
        <v>754</v>
      </c>
      <c r="D705" t="s">
        <v>745</v>
      </c>
    </row>
    <row r="706" spans="1:5" x14ac:dyDescent="0.25">
      <c r="A706" t="s">
        <v>1510</v>
      </c>
      <c r="B706" t="s">
        <v>246</v>
      </c>
      <c r="C706" t="s">
        <v>754</v>
      </c>
      <c r="D706" t="s">
        <v>745</v>
      </c>
    </row>
    <row r="707" spans="1:5" x14ac:dyDescent="0.25">
      <c r="A707" t="s">
        <v>1511</v>
      </c>
      <c r="B707" t="s">
        <v>245</v>
      </c>
      <c r="C707" t="s">
        <v>754</v>
      </c>
      <c r="D707" t="s">
        <v>745</v>
      </c>
    </row>
    <row r="708" spans="1:5" x14ac:dyDescent="0.25">
      <c r="A708" t="s">
        <v>1512</v>
      </c>
      <c r="B708" t="s">
        <v>244</v>
      </c>
      <c r="C708" t="s">
        <v>754</v>
      </c>
      <c r="D708" t="s">
        <v>745</v>
      </c>
    </row>
    <row r="709" spans="1:5" x14ac:dyDescent="0.25">
      <c r="A709" t="s">
        <v>1513</v>
      </c>
      <c r="B709" t="s">
        <v>1556</v>
      </c>
      <c r="C709" t="s">
        <v>754</v>
      </c>
      <c r="D709" t="s">
        <v>745</v>
      </c>
    </row>
    <row r="710" spans="1:5" x14ac:dyDescent="0.25">
      <c r="A710" t="s">
        <v>1514</v>
      </c>
      <c r="B710" t="s">
        <v>1557</v>
      </c>
      <c r="C710" t="s">
        <v>754</v>
      </c>
      <c r="D710" t="s">
        <v>745</v>
      </c>
    </row>
    <row r="711" spans="1:5" x14ac:dyDescent="0.25">
      <c r="A711" t="s">
        <v>1515</v>
      </c>
      <c r="B711" s="577" t="s">
        <v>1530</v>
      </c>
      <c r="C711" t="s">
        <v>754</v>
      </c>
      <c r="D711" t="s">
        <v>745</v>
      </c>
    </row>
    <row r="712" spans="1:5" x14ac:dyDescent="0.25">
      <c r="A712" t="s">
        <v>1516</v>
      </c>
      <c r="B712" t="s">
        <v>1531</v>
      </c>
      <c r="C712" t="s">
        <v>754</v>
      </c>
      <c r="D712" t="s">
        <v>745</v>
      </c>
    </row>
    <row r="713" spans="1:5" x14ac:dyDescent="0.25">
      <c r="A713" t="s">
        <v>1517</v>
      </c>
      <c r="B713" s="577" t="s">
        <v>1533</v>
      </c>
      <c r="C713" t="s">
        <v>754</v>
      </c>
      <c r="D713" t="s">
        <v>745</v>
      </c>
    </row>
    <row r="714" spans="1:5" x14ac:dyDescent="0.25">
      <c r="A714" t="s">
        <v>1518</v>
      </c>
      <c r="B714" t="s">
        <v>1534</v>
      </c>
      <c r="C714" t="s">
        <v>754</v>
      </c>
      <c r="D714" t="s">
        <v>745</v>
      </c>
    </row>
    <row r="715" spans="1:5" x14ac:dyDescent="0.25">
      <c r="A715" t="s">
        <v>1519</v>
      </c>
      <c r="B715" t="s">
        <v>1558</v>
      </c>
      <c r="C715" t="s">
        <v>754</v>
      </c>
      <c r="D715" t="s">
        <v>745</v>
      </c>
    </row>
    <row r="716" spans="1:5" ht="18.75" x14ac:dyDescent="0.3">
      <c r="A716" s="354" t="s">
        <v>1569</v>
      </c>
      <c r="B716" s="354"/>
      <c r="C716" s="354"/>
      <c r="D716" s="354"/>
      <c r="E716" s="354"/>
    </row>
    <row r="717" spans="1:5" x14ac:dyDescent="0.25">
      <c r="A717" t="s">
        <v>1570</v>
      </c>
      <c r="B717" t="s">
        <v>1589</v>
      </c>
      <c r="C717" t="s">
        <v>754</v>
      </c>
      <c r="D717" t="s">
        <v>749</v>
      </c>
    </row>
    <row r="718" spans="1:5" x14ac:dyDescent="0.25">
      <c r="A718" t="s">
        <v>1571</v>
      </c>
      <c r="B718" t="s">
        <v>1590</v>
      </c>
      <c r="C718" t="s">
        <v>754</v>
      </c>
      <c r="D718" t="s">
        <v>749</v>
      </c>
    </row>
    <row r="719" spans="1:5" x14ac:dyDescent="0.25">
      <c r="A719" t="s">
        <v>1572</v>
      </c>
      <c r="B719" t="s">
        <v>1591</v>
      </c>
      <c r="C719" t="s">
        <v>754</v>
      </c>
      <c r="D719" t="s">
        <v>749</v>
      </c>
    </row>
    <row r="720" spans="1:5" x14ac:dyDescent="0.25">
      <c r="A720" t="s">
        <v>1573</v>
      </c>
      <c r="B720" t="s">
        <v>1592</v>
      </c>
      <c r="C720" t="s">
        <v>754</v>
      </c>
      <c r="D720" t="s">
        <v>749</v>
      </c>
    </row>
    <row r="721" spans="1:5" x14ac:dyDescent="0.25">
      <c r="A721" t="s">
        <v>1574</v>
      </c>
      <c r="B721" t="s">
        <v>1559</v>
      </c>
      <c r="C721" t="s">
        <v>754</v>
      </c>
      <c r="D721" t="s">
        <v>749</v>
      </c>
    </row>
    <row r="722" spans="1:5" x14ac:dyDescent="0.25">
      <c r="A722" t="s">
        <v>1575</v>
      </c>
      <c r="B722" t="s">
        <v>1560</v>
      </c>
      <c r="C722" t="s">
        <v>754</v>
      </c>
      <c r="D722" t="s">
        <v>749</v>
      </c>
    </row>
    <row r="723" spans="1:5" x14ac:dyDescent="0.25">
      <c r="A723" t="s">
        <v>1576</v>
      </c>
      <c r="B723" t="s">
        <v>1561</v>
      </c>
      <c r="C723" t="s">
        <v>754</v>
      </c>
      <c r="D723" t="s">
        <v>749</v>
      </c>
    </row>
    <row r="724" spans="1:5" x14ac:dyDescent="0.25">
      <c r="A724" t="s">
        <v>1577</v>
      </c>
      <c r="B724" t="s">
        <v>1593</v>
      </c>
      <c r="C724" t="s">
        <v>754</v>
      </c>
      <c r="D724" t="s">
        <v>749</v>
      </c>
    </row>
    <row r="725" spans="1:5" x14ac:dyDescent="0.25">
      <c r="A725" t="s">
        <v>1578</v>
      </c>
      <c r="B725" t="s">
        <v>1594</v>
      </c>
      <c r="C725" t="s">
        <v>754</v>
      </c>
      <c r="D725" t="s">
        <v>749</v>
      </c>
    </row>
    <row r="726" spans="1:5" x14ac:dyDescent="0.25">
      <c r="A726" t="s">
        <v>1579</v>
      </c>
      <c r="B726" t="s">
        <v>1595</v>
      </c>
      <c r="C726" t="s">
        <v>754</v>
      </c>
      <c r="D726" t="s">
        <v>749</v>
      </c>
    </row>
    <row r="727" spans="1:5" x14ac:dyDescent="0.25">
      <c r="A727" t="s">
        <v>1580</v>
      </c>
      <c r="B727" t="s">
        <v>1596</v>
      </c>
      <c r="C727" t="s">
        <v>754</v>
      </c>
      <c r="D727" t="s">
        <v>749</v>
      </c>
    </row>
    <row r="728" spans="1:5" x14ac:dyDescent="0.25">
      <c r="A728" t="s">
        <v>1581</v>
      </c>
      <c r="B728" t="s">
        <v>1597</v>
      </c>
      <c r="C728" t="s">
        <v>754</v>
      </c>
      <c r="D728" t="s">
        <v>749</v>
      </c>
    </row>
    <row r="729" spans="1:5" x14ac:dyDescent="0.25">
      <c r="A729" t="s">
        <v>1582</v>
      </c>
      <c r="B729" t="s">
        <v>1562</v>
      </c>
      <c r="C729" t="s">
        <v>754</v>
      </c>
      <c r="D729" t="s">
        <v>749</v>
      </c>
    </row>
    <row r="730" spans="1:5" x14ac:dyDescent="0.25">
      <c r="A730" t="s">
        <v>1583</v>
      </c>
      <c r="B730" t="s">
        <v>1564</v>
      </c>
      <c r="C730" t="s">
        <v>754</v>
      </c>
      <c r="D730" t="s">
        <v>749</v>
      </c>
    </row>
    <row r="731" spans="1:5" x14ac:dyDescent="0.25">
      <c r="A731" t="s">
        <v>1584</v>
      </c>
      <c r="B731" t="s">
        <v>149</v>
      </c>
      <c r="C731" t="s">
        <v>754</v>
      </c>
      <c r="D731" t="s">
        <v>749</v>
      </c>
    </row>
    <row r="732" spans="1:5" x14ac:dyDescent="0.25">
      <c r="A732" t="s">
        <v>1585</v>
      </c>
      <c r="B732" t="s">
        <v>1566</v>
      </c>
      <c r="C732" t="s">
        <v>754</v>
      </c>
      <c r="D732" t="s">
        <v>749</v>
      </c>
    </row>
    <row r="733" spans="1:5" x14ac:dyDescent="0.25">
      <c r="A733" t="s">
        <v>1586</v>
      </c>
      <c r="B733" t="s">
        <v>1567</v>
      </c>
      <c r="C733" t="s">
        <v>754</v>
      </c>
      <c r="D733" t="s">
        <v>749</v>
      </c>
    </row>
    <row r="734" spans="1:5" x14ac:dyDescent="0.25">
      <c r="A734" t="s">
        <v>1587</v>
      </c>
      <c r="B734" t="s">
        <v>150</v>
      </c>
      <c r="C734" t="s">
        <v>754</v>
      </c>
      <c r="D734" t="s">
        <v>749</v>
      </c>
    </row>
    <row r="735" spans="1:5" x14ac:dyDescent="0.25">
      <c r="A735" t="s">
        <v>1588</v>
      </c>
      <c r="B735" t="s">
        <v>1568</v>
      </c>
      <c r="C735" t="s">
        <v>754</v>
      </c>
      <c r="D735" t="s">
        <v>749</v>
      </c>
    </row>
    <row r="736" spans="1:5" ht="18.75" x14ac:dyDescent="0.3">
      <c r="A736" s="354" t="s">
        <v>1598</v>
      </c>
      <c r="B736" s="354"/>
      <c r="C736" s="354"/>
      <c r="D736" s="354"/>
      <c r="E736" s="354"/>
    </row>
    <row r="737" spans="1:4" x14ac:dyDescent="0.25">
      <c r="A737" t="s">
        <v>1621</v>
      </c>
      <c r="B737" s="181" t="s">
        <v>1678</v>
      </c>
      <c r="C737" t="s">
        <v>754</v>
      </c>
      <c r="D737" t="s">
        <v>745</v>
      </c>
    </row>
    <row r="738" spans="1:4" x14ac:dyDescent="0.25">
      <c r="A738" t="s">
        <v>1622</v>
      </c>
      <c r="B738" s="181" t="s">
        <v>1599</v>
      </c>
      <c r="C738" t="s">
        <v>754</v>
      </c>
      <c r="D738" t="s">
        <v>745</v>
      </c>
    </row>
    <row r="739" spans="1:4" x14ac:dyDescent="0.25">
      <c r="A739" t="s">
        <v>1623</v>
      </c>
      <c r="B739" s="181" t="s">
        <v>1679</v>
      </c>
      <c r="C739" t="s">
        <v>754</v>
      </c>
      <c r="D739" t="s">
        <v>745</v>
      </c>
    </row>
    <row r="740" spans="1:4" x14ac:dyDescent="0.25">
      <c r="A740" t="s">
        <v>1624</v>
      </c>
      <c r="B740" s="181" t="s">
        <v>1680</v>
      </c>
      <c r="C740" t="s">
        <v>754</v>
      </c>
      <c r="D740" t="s">
        <v>745</v>
      </c>
    </row>
    <row r="741" spans="1:4" x14ac:dyDescent="0.25">
      <c r="A741" t="s">
        <v>1625</v>
      </c>
      <c r="B741" s="181" t="s">
        <v>1681</v>
      </c>
      <c r="C741" t="s">
        <v>754</v>
      </c>
      <c r="D741" t="s">
        <v>745</v>
      </c>
    </row>
    <row r="742" spans="1:4" x14ac:dyDescent="0.25">
      <c r="A742" t="s">
        <v>1626</v>
      </c>
      <c r="B742" s="181" t="s">
        <v>1682</v>
      </c>
      <c r="C742" t="s">
        <v>754</v>
      </c>
      <c r="D742" t="s">
        <v>745</v>
      </c>
    </row>
    <row r="743" spans="1:4" x14ac:dyDescent="0.25">
      <c r="A743" t="s">
        <v>1627</v>
      </c>
      <c r="B743" s="181" t="s">
        <v>1683</v>
      </c>
      <c r="C743" t="s">
        <v>754</v>
      </c>
      <c r="D743" t="s">
        <v>745</v>
      </c>
    </row>
    <row r="744" spans="1:4" x14ac:dyDescent="0.25">
      <c r="A744" t="s">
        <v>1628</v>
      </c>
      <c r="B744" s="181" t="s">
        <v>1684</v>
      </c>
      <c r="C744" t="s">
        <v>754</v>
      </c>
      <c r="D744" t="s">
        <v>745</v>
      </c>
    </row>
    <row r="745" spans="1:4" x14ac:dyDescent="0.25">
      <c r="A745" t="s">
        <v>1629</v>
      </c>
      <c r="B745" s="181" t="s">
        <v>1685</v>
      </c>
      <c r="C745" t="s">
        <v>754</v>
      </c>
      <c r="D745" t="s">
        <v>745</v>
      </c>
    </row>
    <row r="746" spans="1:4" x14ac:dyDescent="0.25">
      <c r="A746" t="s">
        <v>1630</v>
      </c>
      <c r="B746" s="181" t="s">
        <v>1600</v>
      </c>
      <c r="C746" t="s">
        <v>754</v>
      </c>
      <c r="D746" t="s">
        <v>745</v>
      </c>
    </row>
    <row r="747" spans="1:4" x14ac:dyDescent="0.25">
      <c r="A747" t="s">
        <v>1631</v>
      </c>
      <c r="B747" s="181" t="s">
        <v>1601</v>
      </c>
      <c r="C747" t="s">
        <v>754</v>
      </c>
      <c r="D747" t="s">
        <v>745</v>
      </c>
    </row>
    <row r="748" spans="1:4" x14ac:dyDescent="0.25">
      <c r="A748" t="s">
        <v>1632</v>
      </c>
      <c r="B748" s="181" t="s">
        <v>1602</v>
      </c>
      <c r="C748" t="s">
        <v>754</v>
      </c>
      <c r="D748" t="s">
        <v>745</v>
      </c>
    </row>
    <row r="749" spans="1:4" x14ac:dyDescent="0.25">
      <c r="A749" t="s">
        <v>1633</v>
      </c>
      <c r="B749" s="181" t="s">
        <v>1686</v>
      </c>
      <c r="C749" t="s">
        <v>754</v>
      </c>
      <c r="D749" t="s">
        <v>745</v>
      </c>
    </row>
    <row r="750" spans="1:4" x14ac:dyDescent="0.25">
      <c r="A750" t="s">
        <v>1634</v>
      </c>
      <c r="B750" s="181" t="s">
        <v>1687</v>
      </c>
      <c r="C750" t="s">
        <v>754</v>
      </c>
      <c r="D750" t="s">
        <v>745</v>
      </c>
    </row>
    <row r="751" spans="1:4" x14ac:dyDescent="0.25">
      <c r="A751" t="s">
        <v>1635</v>
      </c>
      <c r="B751" s="181" t="s">
        <v>1603</v>
      </c>
      <c r="C751" t="s">
        <v>754</v>
      </c>
      <c r="D751" t="s">
        <v>745</v>
      </c>
    </row>
    <row r="752" spans="1:4" x14ac:dyDescent="0.25">
      <c r="A752" t="s">
        <v>1636</v>
      </c>
      <c r="B752" s="181" t="s">
        <v>1689</v>
      </c>
      <c r="C752" t="s">
        <v>754</v>
      </c>
      <c r="D752" t="s">
        <v>745</v>
      </c>
    </row>
    <row r="753" spans="1:4" x14ac:dyDescent="0.25">
      <c r="A753" t="s">
        <v>1637</v>
      </c>
      <c r="B753" s="181" t="s">
        <v>1688</v>
      </c>
      <c r="C753" t="s">
        <v>754</v>
      </c>
      <c r="D753" t="s">
        <v>745</v>
      </c>
    </row>
    <row r="754" spans="1:4" x14ac:dyDescent="0.25">
      <c r="A754" t="s">
        <v>1638</v>
      </c>
      <c r="B754" s="181" t="s">
        <v>1690</v>
      </c>
      <c r="C754" t="s">
        <v>754</v>
      </c>
      <c r="D754" t="s">
        <v>745</v>
      </c>
    </row>
    <row r="755" spans="1:4" x14ac:dyDescent="0.25">
      <c r="A755" t="s">
        <v>1639</v>
      </c>
      <c r="B755" s="181" t="s">
        <v>1691</v>
      </c>
      <c r="C755" t="s">
        <v>754</v>
      </c>
      <c r="D755" t="s">
        <v>745</v>
      </c>
    </row>
    <row r="756" spans="1:4" x14ac:dyDescent="0.25">
      <c r="A756" t="s">
        <v>1640</v>
      </c>
      <c r="B756" s="181" t="s">
        <v>1692</v>
      </c>
      <c r="C756" t="s">
        <v>754</v>
      </c>
      <c r="D756" t="s">
        <v>745</v>
      </c>
    </row>
    <row r="757" spans="1:4" x14ac:dyDescent="0.25">
      <c r="A757" t="s">
        <v>1641</v>
      </c>
      <c r="B757" s="181" t="s">
        <v>1604</v>
      </c>
      <c r="C757" t="s">
        <v>754</v>
      </c>
      <c r="D757" t="s">
        <v>745</v>
      </c>
    </row>
    <row r="758" spans="1:4" x14ac:dyDescent="0.25">
      <c r="A758" t="s">
        <v>1642</v>
      </c>
      <c r="B758" s="181" t="s">
        <v>1605</v>
      </c>
      <c r="C758" t="s">
        <v>754</v>
      </c>
      <c r="D758" t="s">
        <v>745</v>
      </c>
    </row>
    <row r="759" spans="1:4" x14ac:dyDescent="0.25">
      <c r="A759" t="s">
        <v>1643</v>
      </c>
      <c r="B759" s="181" t="s">
        <v>1606</v>
      </c>
      <c r="C759" t="s">
        <v>754</v>
      </c>
      <c r="D759" t="s">
        <v>745</v>
      </c>
    </row>
    <row r="760" spans="1:4" x14ac:dyDescent="0.25">
      <c r="A760" t="s">
        <v>1644</v>
      </c>
      <c r="B760" s="181" t="s">
        <v>1607</v>
      </c>
      <c r="C760" t="s">
        <v>754</v>
      </c>
      <c r="D760" t="s">
        <v>745</v>
      </c>
    </row>
    <row r="761" spans="1:4" x14ac:dyDescent="0.25">
      <c r="A761" t="s">
        <v>1645</v>
      </c>
      <c r="B761" s="181" t="s">
        <v>1693</v>
      </c>
      <c r="C761" t="s">
        <v>754</v>
      </c>
      <c r="D761" t="s">
        <v>745</v>
      </c>
    </row>
    <row r="762" spans="1:4" x14ac:dyDescent="0.25">
      <c r="A762" t="s">
        <v>1646</v>
      </c>
      <c r="B762" s="181" t="s">
        <v>1694</v>
      </c>
      <c r="C762" t="s">
        <v>754</v>
      </c>
      <c r="D762" t="s">
        <v>745</v>
      </c>
    </row>
    <row r="763" spans="1:4" x14ac:dyDescent="0.25">
      <c r="A763" t="s">
        <v>1647</v>
      </c>
      <c r="B763" s="181" t="s">
        <v>1695</v>
      </c>
      <c r="C763" t="s">
        <v>754</v>
      </c>
      <c r="D763" t="s">
        <v>745</v>
      </c>
    </row>
    <row r="764" spans="1:4" x14ac:dyDescent="0.25">
      <c r="A764" t="s">
        <v>1648</v>
      </c>
      <c r="B764" s="181" t="s">
        <v>1696</v>
      </c>
      <c r="C764" t="s">
        <v>754</v>
      </c>
      <c r="D764" t="s">
        <v>745</v>
      </c>
    </row>
    <row r="765" spans="1:4" x14ac:dyDescent="0.25">
      <c r="A765" t="s">
        <v>1649</v>
      </c>
      <c r="B765" s="181" t="s">
        <v>1697</v>
      </c>
      <c r="C765" t="s">
        <v>754</v>
      </c>
      <c r="D765" t="s">
        <v>745</v>
      </c>
    </row>
    <row r="766" spans="1:4" x14ac:dyDescent="0.25">
      <c r="A766" t="s">
        <v>1650</v>
      </c>
      <c r="B766" s="181" t="s">
        <v>1698</v>
      </c>
      <c r="C766" t="s">
        <v>754</v>
      </c>
      <c r="D766" t="s">
        <v>745</v>
      </c>
    </row>
    <row r="767" spans="1:4" x14ac:dyDescent="0.25">
      <c r="A767" t="s">
        <v>1651</v>
      </c>
      <c r="B767" s="181" t="s">
        <v>1608</v>
      </c>
      <c r="C767" t="s">
        <v>754</v>
      </c>
      <c r="D767" t="s">
        <v>745</v>
      </c>
    </row>
    <row r="768" spans="1:4" x14ac:dyDescent="0.25">
      <c r="A768" t="s">
        <v>1652</v>
      </c>
      <c r="B768" s="181" t="s">
        <v>1699</v>
      </c>
      <c r="C768" t="s">
        <v>754</v>
      </c>
      <c r="D768" t="s">
        <v>745</v>
      </c>
    </row>
    <row r="769" spans="1:4" x14ac:dyDescent="0.25">
      <c r="A769" t="s">
        <v>189</v>
      </c>
      <c r="B769" s="181" t="s">
        <v>1700</v>
      </c>
      <c r="C769" t="s">
        <v>754</v>
      </c>
      <c r="D769" t="s">
        <v>745</v>
      </c>
    </row>
    <row r="770" spans="1:4" x14ac:dyDescent="0.25">
      <c r="A770" t="s">
        <v>1653</v>
      </c>
      <c r="B770" s="181" t="s">
        <v>1701</v>
      </c>
      <c r="C770" t="s">
        <v>754</v>
      </c>
      <c r="D770" t="s">
        <v>745</v>
      </c>
    </row>
    <row r="771" spans="1:4" x14ac:dyDescent="0.25">
      <c r="A771" t="s">
        <v>1654</v>
      </c>
      <c r="B771" s="181" t="s">
        <v>1702</v>
      </c>
      <c r="C771" t="s">
        <v>754</v>
      </c>
      <c r="D771" t="s">
        <v>745</v>
      </c>
    </row>
    <row r="772" spans="1:4" x14ac:dyDescent="0.25">
      <c r="A772" t="s">
        <v>1655</v>
      </c>
      <c r="B772" s="181" t="s">
        <v>1703</v>
      </c>
      <c r="C772" t="s">
        <v>754</v>
      </c>
      <c r="D772" t="s">
        <v>745</v>
      </c>
    </row>
    <row r="773" spans="1:4" x14ac:dyDescent="0.25">
      <c r="A773" t="s">
        <v>1656</v>
      </c>
      <c r="B773" s="181" t="s">
        <v>1704</v>
      </c>
      <c r="C773" t="s">
        <v>754</v>
      </c>
      <c r="D773" t="s">
        <v>745</v>
      </c>
    </row>
    <row r="774" spans="1:4" x14ac:dyDescent="0.25">
      <c r="A774" t="s">
        <v>1657</v>
      </c>
      <c r="B774" s="181" t="s">
        <v>1705</v>
      </c>
      <c r="C774" t="s">
        <v>754</v>
      </c>
      <c r="D774" t="s">
        <v>745</v>
      </c>
    </row>
    <row r="775" spans="1:4" x14ac:dyDescent="0.25">
      <c r="A775" t="s">
        <v>1658</v>
      </c>
      <c r="B775" s="181" t="s">
        <v>154</v>
      </c>
      <c r="C775" t="s">
        <v>754</v>
      </c>
      <c r="D775" t="s">
        <v>745</v>
      </c>
    </row>
    <row r="776" spans="1:4" x14ac:dyDescent="0.25">
      <c r="A776" t="s">
        <v>1659</v>
      </c>
      <c r="B776" s="181" t="s">
        <v>1706</v>
      </c>
      <c r="C776" t="s">
        <v>754</v>
      </c>
      <c r="D776" t="s">
        <v>745</v>
      </c>
    </row>
    <row r="777" spans="1:4" x14ac:dyDescent="0.25">
      <c r="A777" t="s">
        <v>91</v>
      </c>
      <c r="B777" s="181" t="s">
        <v>1707</v>
      </c>
      <c r="C777" t="s">
        <v>754</v>
      </c>
      <c r="D777" t="s">
        <v>745</v>
      </c>
    </row>
    <row r="778" spans="1:4" x14ac:dyDescent="0.25">
      <c r="A778" t="s">
        <v>1660</v>
      </c>
      <c r="B778" s="181" t="s">
        <v>1609</v>
      </c>
      <c r="C778" t="s">
        <v>754</v>
      </c>
      <c r="D778" t="s">
        <v>745</v>
      </c>
    </row>
    <row r="779" spans="1:4" x14ac:dyDescent="0.25">
      <c r="A779" t="s">
        <v>1661</v>
      </c>
      <c r="B779" s="181" t="s">
        <v>1610</v>
      </c>
      <c r="C779" t="s">
        <v>754</v>
      </c>
      <c r="D779" t="s">
        <v>745</v>
      </c>
    </row>
    <row r="780" spans="1:4" x14ac:dyDescent="0.25">
      <c r="A780" t="s">
        <v>1662</v>
      </c>
      <c r="B780" s="181" t="s">
        <v>1611</v>
      </c>
      <c r="C780" t="s">
        <v>754</v>
      </c>
      <c r="D780" t="s">
        <v>745</v>
      </c>
    </row>
    <row r="781" spans="1:4" x14ac:dyDescent="0.25">
      <c r="A781" t="s">
        <v>1663</v>
      </c>
      <c r="B781" s="181" t="s">
        <v>1612</v>
      </c>
      <c r="C781" t="s">
        <v>754</v>
      </c>
      <c r="D781" t="s">
        <v>745</v>
      </c>
    </row>
    <row r="782" spans="1:4" x14ac:dyDescent="0.25">
      <c r="A782" t="s">
        <v>1664</v>
      </c>
      <c r="B782" s="181" t="s">
        <v>1613</v>
      </c>
      <c r="C782" t="s">
        <v>754</v>
      </c>
      <c r="D782" t="s">
        <v>745</v>
      </c>
    </row>
    <row r="783" spans="1:4" x14ac:dyDescent="0.25">
      <c r="A783" t="s">
        <v>1665</v>
      </c>
      <c r="B783" s="181" t="s">
        <v>1614</v>
      </c>
      <c r="C783" t="s">
        <v>754</v>
      </c>
      <c r="D783" t="s">
        <v>745</v>
      </c>
    </row>
    <row r="784" spans="1:4" x14ac:dyDescent="0.25">
      <c r="A784" t="s">
        <v>1666</v>
      </c>
      <c r="B784" s="181" t="s">
        <v>1708</v>
      </c>
      <c r="C784" t="s">
        <v>754</v>
      </c>
      <c r="D784" t="s">
        <v>745</v>
      </c>
    </row>
    <row r="785" spans="1:5" x14ac:dyDescent="0.25">
      <c r="A785" t="s">
        <v>1667</v>
      </c>
      <c r="B785" s="181" t="s">
        <v>1615</v>
      </c>
      <c r="C785" t="s">
        <v>754</v>
      </c>
      <c r="D785" t="s">
        <v>745</v>
      </c>
    </row>
    <row r="786" spans="1:5" x14ac:dyDescent="0.25">
      <c r="A786" t="s">
        <v>1668</v>
      </c>
      <c r="B786" s="181" t="s">
        <v>1709</v>
      </c>
      <c r="C786" t="s">
        <v>754</v>
      </c>
      <c r="D786" t="s">
        <v>745</v>
      </c>
    </row>
    <row r="787" spans="1:5" x14ac:dyDescent="0.25">
      <c r="A787" t="s">
        <v>1669</v>
      </c>
      <c r="B787" s="181" t="s">
        <v>1710</v>
      </c>
      <c r="C787" t="s">
        <v>754</v>
      </c>
      <c r="D787" t="s">
        <v>745</v>
      </c>
    </row>
    <row r="788" spans="1:5" x14ac:dyDescent="0.25">
      <c r="A788" t="s">
        <v>1670</v>
      </c>
      <c r="B788" s="181" t="s">
        <v>1711</v>
      </c>
      <c r="C788" t="s">
        <v>754</v>
      </c>
      <c r="D788" t="s">
        <v>745</v>
      </c>
    </row>
    <row r="789" spans="1:5" x14ac:dyDescent="0.25">
      <c r="A789" t="s">
        <v>1671</v>
      </c>
      <c r="B789" s="181" t="s">
        <v>1712</v>
      </c>
      <c r="C789" t="s">
        <v>754</v>
      </c>
      <c r="D789" t="s">
        <v>745</v>
      </c>
    </row>
    <row r="790" spans="1:5" x14ac:dyDescent="0.25">
      <c r="A790" t="s">
        <v>1672</v>
      </c>
      <c r="B790" s="181" t="s">
        <v>1616</v>
      </c>
      <c r="C790" t="s">
        <v>754</v>
      </c>
      <c r="D790" t="s">
        <v>745</v>
      </c>
    </row>
    <row r="791" spans="1:5" x14ac:dyDescent="0.25">
      <c r="A791" t="s">
        <v>1673</v>
      </c>
      <c r="B791" s="181" t="s">
        <v>1617</v>
      </c>
      <c r="C791" t="s">
        <v>754</v>
      </c>
      <c r="D791" t="s">
        <v>745</v>
      </c>
    </row>
    <row r="792" spans="1:5" x14ac:dyDescent="0.25">
      <c r="A792" t="s">
        <v>1674</v>
      </c>
      <c r="B792" s="181" t="s">
        <v>1618</v>
      </c>
      <c r="C792" t="s">
        <v>754</v>
      </c>
      <c r="D792" t="s">
        <v>745</v>
      </c>
    </row>
    <row r="793" spans="1:5" x14ac:dyDescent="0.25">
      <c r="A793" t="s">
        <v>1675</v>
      </c>
      <c r="B793" s="181" t="s">
        <v>1713</v>
      </c>
      <c r="C793" t="s">
        <v>754</v>
      </c>
      <c r="D793" t="s">
        <v>745</v>
      </c>
    </row>
    <row r="794" spans="1:5" x14ac:dyDescent="0.25">
      <c r="A794" t="s">
        <v>1676</v>
      </c>
      <c r="B794" s="181" t="s">
        <v>1619</v>
      </c>
      <c r="C794" t="s">
        <v>754</v>
      </c>
      <c r="D794" t="s">
        <v>745</v>
      </c>
    </row>
    <row r="795" spans="1:5" x14ac:dyDescent="0.25">
      <c r="A795" t="s">
        <v>1677</v>
      </c>
      <c r="B795" s="181" t="s">
        <v>1620</v>
      </c>
      <c r="C795" t="s">
        <v>1326</v>
      </c>
      <c r="D795" t="s">
        <v>745</v>
      </c>
    </row>
    <row r="796" spans="1:5" ht="18.75" x14ac:dyDescent="0.3">
      <c r="A796" s="354" t="s">
        <v>1714</v>
      </c>
      <c r="B796" s="354"/>
      <c r="C796" s="354"/>
      <c r="D796" s="354"/>
      <c r="E796" s="354"/>
    </row>
    <row r="797" spans="1:5" x14ac:dyDescent="0.25">
      <c r="A797" t="s">
        <v>1715</v>
      </c>
      <c r="B797" s="181" t="s">
        <v>159</v>
      </c>
      <c r="C797" t="s">
        <v>754</v>
      </c>
      <c r="D797" t="s">
        <v>745</v>
      </c>
    </row>
    <row r="798" spans="1:5" x14ac:dyDescent="0.25">
      <c r="A798" t="s">
        <v>1716</v>
      </c>
      <c r="B798" s="181" t="s">
        <v>1747</v>
      </c>
      <c r="C798" t="s">
        <v>754</v>
      </c>
      <c r="D798" t="s">
        <v>745</v>
      </c>
    </row>
    <row r="799" spans="1:5" x14ac:dyDescent="0.25">
      <c r="A799" t="s">
        <v>1717</v>
      </c>
      <c r="B799" s="181" t="s">
        <v>1748</v>
      </c>
      <c r="C799" t="s">
        <v>754</v>
      </c>
      <c r="D799" t="s">
        <v>745</v>
      </c>
    </row>
    <row r="800" spans="1:5" x14ac:dyDescent="0.25">
      <c r="A800" t="s">
        <v>1718</v>
      </c>
      <c r="B800" s="181" t="s">
        <v>1749</v>
      </c>
      <c r="C800" t="s">
        <v>754</v>
      </c>
      <c r="D800" t="s">
        <v>745</v>
      </c>
    </row>
    <row r="801" spans="1:4" x14ac:dyDescent="0.25">
      <c r="A801" t="s">
        <v>1719</v>
      </c>
      <c r="B801" s="181" t="s">
        <v>1750</v>
      </c>
      <c r="C801" t="s">
        <v>754</v>
      </c>
      <c r="D801" t="s">
        <v>745</v>
      </c>
    </row>
    <row r="802" spans="1:4" x14ac:dyDescent="0.25">
      <c r="A802" t="s">
        <v>1720</v>
      </c>
      <c r="B802" s="181" t="s">
        <v>1752</v>
      </c>
      <c r="C802" t="s">
        <v>754</v>
      </c>
      <c r="D802" t="s">
        <v>745</v>
      </c>
    </row>
    <row r="803" spans="1:4" x14ac:dyDescent="0.25">
      <c r="A803" t="s">
        <v>1721</v>
      </c>
      <c r="B803" s="181" t="s">
        <v>1751</v>
      </c>
      <c r="C803" t="s">
        <v>754</v>
      </c>
      <c r="D803" t="s">
        <v>745</v>
      </c>
    </row>
    <row r="804" spans="1:4" x14ac:dyDescent="0.25">
      <c r="A804" t="s">
        <v>1722</v>
      </c>
      <c r="B804" s="181" t="s">
        <v>1753</v>
      </c>
      <c r="C804" t="s">
        <v>754</v>
      </c>
      <c r="D804" t="s">
        <v>745</v>
      </c>
    </row>
    <row r="805" spans="1:4" x14ac:dyDescent="0.25">
      <c r="A805" t="s">
        <v>1723</v>
      </c>
      <c r="B805" s="181" t="s">
        <v>1742</v>
      </c>
      <c r="C805" t="s">
        <v>754</v>
      </c>
      <c r="D805" t="s">
        <v>745</v>
      </c>
    </row>
    <row r="806" spans="1:4" x14ac:dyDescent="0.25">
      <c r="A806" t="s">
        <v>1724</v>
      </c>
      <c r="B806" s="181" t="s">
        <v>1743</v>
      </c>
      <c r="C806" t="s">
        <v>754</v>
      </c>
      <c r="D806" t="s">
        <v>745</v>
      </c>
    </row>
    <row r="807" spans="1:4" x14ac:dyDescent="0.25">
      <c r="A807" t="s">
        <v>1725</v>
      </c>
      <c r="B807" s="181" t="s">
        <v>1744</v>
      </c>
      <c r="C807" t="s">
        <v>754</v>
      </c>
      <c r="D807" t="s">
        <v>745</v>
      </c>
    </row>
    <row r="808" spans="1:4" x14ac:dyDescent="0.25">
      <c r="A808" t="s">
        <v>1726</v>
      </c>
      <c r="B808" s="181" t="s">
        <v>1745</v>
      </c>
      <c r="C808" t="s">
        <v>754</v>
      </c>
      <c r="D808" t="s">
        <v>745</v>
      </c>
    </row>
    <row r="809" spans="1:4" x14ac:dyDescent="0.25">
      <c r="A809" t="s">
        <v>1727</v>
      </c>
      <c r="B809" s="181" t="s">
        <v>163</v>
      </c>
      <c r="C809" t="s">
        <v>754</v>
      </c>
      <c r="D809" t="s">
        <v>745</v>
      </c>
    </row>
    <row r="810" spans="1:4" x14ac:dyDescent="0.25">
      <c r="A810" t="s">
        <v>1728</v>
      </c>
      <c r="B810" s="181" t="s">
        <v>160</v>
      </c>
      <c r="C810" t="s">
        <v>754</v>
      </c>
      <c r="D810" t="s">
        <v>745</v>
      </c>
    </row>
    <row r="811" spans="1:4" x14ac:dyDescent="0.25">
      <c r="A811" t="s">
        <v>1729</v>
      </c>
      <c r="B811" s="181" t="s">
        <v>1746</v>
      </c>
      <c r="C811" t="s">
        <v>754</v>
      </c>
      <c r="D811" t="s">
        <v>745</v>
      </c>
    </row>
    <row r="812" spans="1:4" x14ac:dyDescent="0.25">
      <c r="A812" t="s">
        <v>1730</v>
      </c>
      <c r="B812" s="181" t="s">
        <v>1736</v>
      </c>
      <c r="C812" t="s">
        <v>1326</v>
      </c>
      <c r="D812" t="s">
        <v>745</v>
      </c>
    </row>
    <row r="813" spans="1:4" x14ac:dyDescent="0.25">
      <c r="A813" t="s">
        <v>1731</v>
      </c>
      <c r="B813" s="181" t="s">
        <v>1737</v>
      </c>
      <c r="C813" t="s">
        <v>754</v>
      </c>
      <c r="D813" t="s">
        <v>745</v>
      </c>
    </row>
    <row r="814" spans="1:4" x14ac:dyDescent="0.25">
      <c r="A814" t="s">
        <v>1732</v>
      </c>
      <c r="B814" s="181" t="s">
        <v>1738</v>
      </c>
      <c r="C814" t="s">
        <v>754</v>
      </c>
      <c r="D814" t="s">
        <v>745</v>
      </c>
    </row>
    <row r="815" spans="1:4" x14ac:dyDescent="0.25">
      <c r="A815" t="s">
        <v>1733</v>
      </c>
      <c r="B815" s="181" t="s">
        <v>1739</v>
      </c>
      <c r="C815" t="s">
        <v>754</v>
      </c>
      <c r="D815" t="s">
        <v>745</v>
      </c>
    </row>
    <row r="816" spans="1:4" x14ac:dyDescent="0.25">
      <c r="A816" t="s">
        <v>1734</v>
      </c>
      <c r="B816" s="181" t="s">
        <v>1740</v>
      </c>
      <c r="C816" t="s">
        <v>754</v>
      </c>
      <c r="D816" t="s">
        <v>745</v>
      </c>
    </row>
    <row r="817" spans="1:5" x14ac:dyDescent="0.25">
      <c r="A817" t="s">
        <v>1735</v>
      </c>
      <c r="B817" s="181" t="s">
        <v>1741</v>
      </c>
      <c r="C817" t="s">
        <v>754</v>
      </c>
      <c r="D817" t="s">
        <v>745</v>
      </c>
    </row>
    <row r="818" spans="1:5" ht="18.75" x14ac:dyDescent="0.3">
      <c r="A818" s="354" t="s">
        <v>1714</v>
      </c>
      <c r="B818" s="354"/>
      <c r="C818" s="354"/>
      <c r="D818" s="354"/>
      <c r="E818" s="354"/>
    </row>
    <row r="819" spans="1:5" x14ac:dyDescent="0.25">
      <c r="A819" t="s">
        <v>1754</v>
      </c>
      <c r="B819" t="s">
        <v>1759</v>
      </c>
      <c r="C819" t="s">
        <v>754</v>
      </c>
      <c r="D819" t="s">
        <v>749</v>
      </c>
    </row>
    <row r="820" spans="1:5" x14ac:dyDescent="0.25">
      <c r="A820" t="s">
        <v>1755</v>
      </c>
      <c r="B820" t="s">
        <v>1760</v>
      </c>
      <c r="C820" t="s">
        <v>754</v>
      </c>
      <c r="D820" t="s">
        <v>749</v>
      </c>
    </row>
    <row r="821" spans="1:5" x14ac:dyDescent="0.25">
      <c r="A821" t="s">
        <v>1756</v>
      </c>
      <c r="B821" t="s">
        <v>1761</v>
      </c>
      <c r="C821" t="s">
        <v>754</v>
      </c>
      <c r="D821" t="s">
        <v>749</v>
      </c>
    </row>
    <row r="822" spans="1:5" x14ac:dyDescent="0.25">
      <c r="A822" t="s">
        <v>1757</v>
      </c>
      <c r="B822" t="s">
        <v>1762</v>
      </c>
      <c r="C822" t="s">
        <v>1326</v>
      </c>
      <c r="D822" t="s">
        <v>749</v>
      </c>
    </row>
    <row r="823" spans="1:5" x14ac:dyDescent="0.25">
      <c r="A823" t="s">
        <v>1758</v>
      </c>
      <c r="B823" t="s">
        <v>1763</v>
      </c>
      <c r="C823" t="s">
        <v>754</v>
      </c>
      <c r="D823" t="s">
        <v>749</v>
      </c>
    </row>
    <row r="824" spans="1:5" ht="18.75" x14ac:dyDescent="0.3">
      <c r="A824" s="354" t="s">
        <v>347</v>
      </c>
      <c r="B824" s="354"/>
      <c r="C824" s="354"/>
      <c r="D824" s="354"/>
      <c r="E824" s="354"/>
    </row>
    <row r="825" spans="1:5" x14ac:dyDescent="0.25">
      <c r="A825" t="s">
        <v>1764</v>
      </c>
      <c r="B825" s="181" t="s">
        <v>1780</v>
      </c>
      <c r="C825" t="s">
        <v>754</v>
      </c>
      <c r="D825" t="s">
        <v>745</v>
      </c>
    </row>
    <row r="826" spans="1:5" x14ac:dyDescent="0.25">
      <c r="A826" t="s">
        <v>1765</v>
      </c>
      <c r="B826" s="181" t="s">
        <v>170</v>
      </c>
      <c r="C826" t="s">
        <v>1326</v>
      </c>
      <c r="D826" t="s">
        <v>745</v>
      </c>
    </row>
    <row r="827" spans="1:5" x14ac:dyDescent="0.25">
      <c r="A827" t="s">
        <v>1766</v>
      </c>
      <c r="B827" s="181" t="s">
        <v>1781</v>
      </c>
      <c r="C827" t="s">
        <v>754</v>
      </c>
      <c r="D827" t="s">
        <v>745</v>
      </c>
    </row>
    <row r="828" spans="1:5" x14ac:dyDescent="0.25">
      <c r="A828" t="s">
        <v>1767</v>
      </c>
      <c r="B828" s="181" t="s">
        <v>1782</v>
      </c>
      <c r="C828" t="s">
        <v>754</v>
      </c>
      <c r="D828" t="s">
        <v>745</v>
      </c>
    </row>
    <row r="829" spans="1:5" x14ac:dyDescent="0.25">
      <c r="A829" t="s">
        <v>1768</v>
      </c>
      <c r="B829" s="181" t="s">
        <v>1783</v>
      </c>
      <c r="C829" t="s">
        <v>754</v>
      </c>
      <c r="D829" t="s">
        <v>745</v>
      </c>
    </row>
    <row r="830" spans="1:5" x14ac:dyDescent="0.25">
      <c r="A830" t="s">
        <v>1769</v>
      </c>
      <c r="B830" s="181" t="s">
        <v>1784</v>
      </c>
      <c r="C830" t="s">
        <v>754</v>
      </c>
      <c r="D830" t="s">
        <v>745</v>
      </c>
    </row>
    <row r="831" spans="1:5" ht="18.75" x14ac:dyDescent="0.3">
      <c r="A831" s="354" t="s">
        <v>1770</v>
      </c>
      <c r="B831" s="354"/>
      <c r="C831" s="354"/>
      <c r="D831" s="354"/>
      <c r="E831" s="354"/>
    </row>
    <row r="832" spans="1:5" x14ac:dyDescent="0.25">
      <c r="A832" t="s">
        <v>1771</v>
      </c>
      <c r="B832" t="s">
        <v>177</v>
      </c>
      <c r="C832" t="s">
        <v>754</v>
      </c>
      <c r="D832" t="s">
        <v>749</v>
      </c>
    </row>
    <row r="833" spans="1:5" x14ac:dyDescent="0.25">
      <c r="A833" t="s">
        <v>1772</v>
      </c>
      <c r="B833" t="s">
        <v>726</v>
      </c>
      <c r="C833" t="s">
        <v>1326</v>
      </c>
      <c r="D833" t="s">
        <v>745</v>
      </c>
    </row>
    <row r="834" spans="1:5" x14ac:dyDescent="0.25">
      <c r="A834" t="s">
        <v>1773</v>
      </c>
      <c r="B834" t="s">
        <v>727</v>
      </c>
      <c r="C834" t="s">
        <v>754</v>
      </c>
      <c r="D834" t="s">
        <v>745</v>
      </c>
    </row>
    <row r="835" spans="1:5" x14ac:dyDescent="0.25">
      <c r="A835" t="s">
        <v>1774</v>
      </c>
      <c r="B835" t="s">
        <v>178</v>
      </c>
      <c r="C835" t="s">
        <v>754</v>
      </c>
      <c r="D835" t="s">
        <v>745</v>
      </c>
    </row>
    <row r="836" spans="1:5" x14ac:dyDescent="0.25">
      <c r="A836" t="s">
        <v>1775</v>
      </c>
      <c r="B836" t="s">
        <v>179</v>
      </c>
      <c r="C836" t="s">
        <v>754</v>
      </c>
      <c r="D836" t="s">
        <v>745</v>
      </c>
    </row>
    <row r="837" spans="1:5" x14ac:dyDescent="0.25">
      <c r="A837" t="s">
        <v>1776</v>
      </c>
      <c r="B837" t="s">
        <v>181</v>
      </c>
      <c r="C837" t="s">
        <v>754</v>
      </c>
      <c r="D837" t="s">
        <v>745</v>
      </c>
    </row>
    <row r="838" spans="1:5" x14ac:dyDescent="0.25">
      <c r="A838" t="s">
        <v>1777</v>
      </c>
      <c r="B838" t="s">
        <v>182</v>
      </c>
      <c r="C838" t="s">
        <v>754</v>
      </c>
      <c r="D838" t="s">
        <v>745</v>
      </c>
    </row>
    <row r="839" spans="1:5" x14ac:dyDescent="0.25">
      <c r="A839" t="s">
        <v>1778</v>
      </c>
      <c r="B839" t="s">
        <v>183</v>
      </c>
      <c r="C839" t="s">
        <v>754</v>
      </c>
      <c r="D839" t="s">
        <v>745</v>
      </c>
    </row>
    <row r="840" spans="1:5" x14ac:dyDescent="0.25">
      <c r="A840" t="s">
        <v>1779</v>
      </c>
      <c r="B840" t="s">
        <v>184</v>
      </c>
      <c r="C840" t="s">
        <v>1326</v>
      </c>
      <c r="D840" t="s">
        <v>745</v>
      </c>
    </row>
    <row r="841" spans="1:5" ht="18.75" x14ac:dyDescent="0.3">
      <c r="A841" s="354" t="s">
        <v>1785</v>
      </c>
      <c r="B841" s="354"/>
      <c r="C841" s="354"/>
      <c r="D841" s="354"/>
      <c r="E841" s="354"/>
    </row>
    <row r="842" spans="1:5" x14ac:dyDescent="0.25">
      <c r="A842" t="s">
        <v>1786</v>
      </c>
      <c r="B842" t="s">
        <v>189</v>
      </c>
      <c r="C842" t="s">
        <v>754</v>
      </c>
      <c r="D842" t="s">
        <v>745</v>
      </c>
    </row>
    <row r="843" spans="1:5" x14ac:dyDescent="0.25">
      <c r="A843" t="s">
        <v>1787</v>
      </c>
      <c r="B843" t="s">
        <v>192</v>
      </c>
      <c r="C843" t="s">
        <v>754</v>
      </c>
      <c r="D843" t="s">
        <v>745</v>
      </c>
    </row>
    <row r="844" spans="1:5" x14ac:dyDescent="0.25">
      <c r="A844" t="s">
        <v>1788</v>
      </c>
      <c r="B844" t="s">
        <v>1821</v>
      </c>
      <c r="C844" t="s">
        <v>754</v>
      </c>
      <c r="D844" t="s">
        <v>745</v>
      </c>
    </row>
    <row r="845" spans="1:5" x14ac:dyDescent="0.25">
      <c r="A845" t="s">
        <v>1789</v>
      </c>
      <c r="B845" t="s">
        <v>191</v>
      </c>
      <c r="C845" t="s">
        <v>754</v>
      </c>
      <c r="D845" t="s">
        <v>745</v>
      </c>
    </row>
    <row r="846" spans="1:5" x14ac:dyDescent="0.25">
      <c r="A846" t="s">
        <v>1790</v>
      </c>
      <c r="B846" t="s">
        <v>1808</v>
      </c>
      <c r="C846" t="s">
        <v>754</v>
      </c>
      <c r="D846" t="s">
        <v>745</v>
      </c>
    </row>
    <row r="847" spans="1:5" x14ac:dyDescent="0.25">
      <c r="A847" t="s">
        <v>1791</v>
      </c>
      <c r="B847" t="s">
        <v>1809</v>
      </c>
      <c r="C847" t="s">
        <v>754</v>
      </c>
      <c r="D847" t="s">
        <v>745</v>
      </c>
    </row>
    <row r="848" spans="1:5" x14ac:dyDescent="0.25">
      <c r="A848" t="s">
        <v>1792</v>
      </c>
      <c r="B848" t="s">
        <v>1822</v>
      </c>
      <c r="C848" t="s">
        <v>754</v>
      </c>
      <c r="D848" t="s">
        <v>745</v>
      </c>
    </row>
    <row r="849" spans="1:4" x14ac:dyDescent="0.25">
      <c r="A849" t="s">
        <v>1793</v>
      </c>
      <c r="B849" t="s">
        <v>1810</v>
      </c>
      <c r="C849" t="s">
        <v>754</v>
      </c>
      <c r="D849" t="s">
        <v>745</v>
      </c>
    </row>
    <row r="850" spans="1:4" x14ac:dyDescent="0.25">
      <c r="A850" t="s">
        <v>1794</v>
      </c>
      <c r="B850" t="s">
        <v>1811</v>
      </c>
      <c r="C850" t="s">
        <v>754</v>
      </c>
      <c r="D850" t="s">
        <v>745</v>
      </c>
    </row>
    <row r="851" spans="1:4" x14ac:dyDescent="0.25">
      <c r="A851" t="s">
        <v>1795</v>
      </c>
      <c r="B851" t="s">
        <v>1812</v>
      </c>
      <c r="C851" t="s">
        <v>754</v>
      </c>
      <c r="D851" t="s">
        <v>745</v>
      </c>
    </row>
    <row r="852" spans="1:4" x14ac:dyDescent="0.25">
      <c r="A852" t="s">
        <v>1796</v>
      </c>
      <c r="B852" t="s">
        <v>1823</v>
      </c>
      <c r="C852" t="s">
        <v>754</v>
      </c>
      <c r="D852" t="s">
        <v>745</v>
      </c>
    </row>
    <row r="853" spans="1:4" x14ac:dyDescent="0.25">
      <c r="A853" t="s">
        <v>1797</v>
      </c>
      <c r="B853" t="s">
        <v>1813</v>
      </c>
      <c r="C853" t="s">
        <v>754</v>
      </c>
      <c r="D853" t="s">
        <v>745</v>
      </c>
    </row>
    <row r="854" spans="1:4" x14ac:dyDescent="0.25">
      <c r="A854" t="s">
        <v>1798</v>
      </c>
      <c r="B854" t="s">
        <v>1814</v>
      </c>
      <c r="C854" t="s">
        <v>754</v>
      </c>
      <c r="D854" t="s">
        <v>745</v>
      </c>
    </row>
    <row r="855" spans="1:4" x14ac:dyDescent="0.25">
      <c r="A855" t="s">
        <v>1799</v>
      </c>
      <c r="B855" t="s">
        <v>1815</v>
      </c>
      <c r="C855" t="s">
        <v>754</v>
      </c>
      <c r="D855" t="s">
        <v>745</v>
      </c>
    </row>
    <row r="856" spans="1:4" x14ac:dyDescent="0.25">
      <c r="A856" t="s">
        <v>1800</v>
      </c>
      <c r="B856" t="s">
        <v>1816</v>
      </c>
      <c r="C856" t="s">
        <v>754</v>
      </c>
      <c r="D856" t="s">
        <v>745</v>
      </c>
    </row>
    <row r="857" spans="1:4" x14ac:dyDescent="0.25">
      <c r="A857" t="s">
        <v>1801</v>
      </c>
      <c r="B857" t="s">
        <v>1817</v>
      </c>
      <c r="C857" t="s">
        <v>754</v>
      </c>
      <c r="D857" t="s">
        <v>745</v>
      </c>
    </row>
    <row r="858" spans="1:4" x14ac:dyDescent="0.25">
      <c r="A858" t="s">
        <v>1802</v>
      </c>
      <c r="B858" t="s">
        <v>412</v>
      </c>
      <c r="C858" t="s">
        <v>754</v>
      </c>
      <c r="D858" t="s">
        <v>745</v>
      </c>
    </row>
    <row r="859" spans="1:4" x14ac:dyDescent="0.25">
      <c r="A859" t="s">
        <v>1803</v>
      </c>
      <c r="B859" t="s">
        <v>413</v>
      </c>
      <c r="C859" t="s">
        <v>754</v>
      </c>
      <c r="D859" t="s">
        <v>745</v>
      </c>
    </row>
    <row r="860" spans="1:4" x14ac:dyDescent="0.25">
      <c r="A860" t="s">
        <v>1804</v>
      </c>
      <c r="B860" t="s">
        <v>411</v>
      </c>
      <c r="C860" t="s">
        <v>754</v>
      </c>
      <c r="D860" t="s">
        <v>745</v>
      </c>
    </row>
    <row r="861" spans="1:4" x14ac:dyDescent="0.25">
      <c r="A861" t="s">
        <v>1805</v>
      </c>
      <c r="B861" t="s">
        <v>1818</v>
      </c>
      <c r="C861" t="s">
        <v>754</v>
      </c>
      <c r="D861" t="s">
        <v>745</v>
      </c>
    </row>
    <row r="862" spans="1:4" x14ac:dyDescent="0.25">
      <c r="A862" t="s">
        <v>1806</v>
      </c>
      <c r="B862" t="s">
        <v>1819</v>
      </c>
      <c r="C862" t="s">
        <v>754</v>
      </c>
      <c r="D862" t="s">
        <v>745</v>
      </c>
    </row>
    <row r="863" spans="1:4" x14ac:dyDescent="0.25">
      <c r="A863" t="s">
        <v>1807</v>
      </c>
      <c r="B863" t="s">
        <v>1820</v>
      </c>
      <c r="C863" t="s">
        <v>754</v>
      </c>
      <c r="D863" t="s">
        <v>745</v>
      </c>
    </row>
  </sheetData>
  <mergeCells count="1">
    <mergeCell ref="A2:E2"/>
  </mergeCells>
  <conditionalFormatting sqref="B179">
    <cfRule type="duplicateValues" dxfId="41" priority="40"/>
    <cfRule type="duplicateValues" dxfId="40" priority="41"/>
  </conditionalFormatting>
  <conditionalFormatting sqref="B578">
    <cfRule type="duplicateValues" dxfId="39" priority="38"/>
    <cfRule type="duplicateValues" dxfId="38" priority="39"/>
  </conditionalFormatting>
  <conditionalFormatting sqref="B1:B1048576">
    <cfRule type="duplicateValues" dxfId="37" priority="35"/>
  </conditionalFormatting>
  <conditionalFormatting sqref="B602">
    <cfRule type="duplicateValues" dxfId="36" priority="33"/>
    <cfRule type="duplicateValues" dxfId="35" priority="34"/>
  </conditionalFormatting>
  <conditionalFormatting sqref="B626">
    <cfRule type="duplicateValues" dxfId="34" priority="29"/>
    <cfRule type="duplicateValues" dxfId="33" priority="30"/>
  </conditionalFormatting>
  <conditionalFormatting sqref="B648">
    <cfRule type="duplicateValues" dxfId="32" priority="25"/>
    <cfRule type="duplicateValues" dxfId="31" priority="26"/>
  </conditionalFormatting>
  <conditionalFormatting sqref="B661">
    <cfRule type="duplicateValues" dxfId="30" priority="21"/>
    <cfRule type="duplicateValues" dxfId="29" priority="22"/>
  </conditionalFormatting>
  <conditionalFormatting sqref="B716">
    <cfRule type="duplicateValues" dxfId="28" priority="17"/>
    <cfRule type="duplicateValues" dxfId="27" priority="18"/>
  </conditionalFormatting>
  <conditionalFormatting sqref="B736">
    <cfRule type="duplicateValues" dxfId="26" priority="13"/>
    <cfRule type="duplicateValues" dxfId="25" priority="14"/>
  </conditionalFormatting>
  <conditionalFormatting sqref="B796">
    <cfRule type="duplicateValues" dxfId="24" priority="11"/>
    <cfRule type="duplicateValues" dxfId="23" priority="12"/>
  </conditionalFormatting>
  <conditionalFormatting sqref="B818">
    <cfRule type="duplicateValues" dxfId="22" priority="9"/>
    <cfRule type="duplicateValues" dxfId="21" priority="10"/>
  </conditionalFormatting>
  <conditionalFormatting sqref="B824">
    <cfRule type="duplicateValues" dxfId="20" priority="7"/>
    <cfRule type="duplicateValues" dxfId="19" priority="8"/>
  </conditionalFormatting>
  <conditionalFormatting sqref="B831">
    <cfRule type="duplicateValues" dxfId="18" priority="5"/>
    <cfRule type="duplicateValues" dxfId="17" priority="6"/>
  </conditionalFormatting>
  <conditionalFormatting sqref="B841">
    <cfRule type="duplicateValues" dxfId="16" priority="3"/>
    <cfRule type="duplicateValues" dxfId="15" priority="4"/>
  </conditionalFormatting>
  <conditionalFormatting sqref="A527:A553">
    <cfRule type="duplicateValues" dxfId="14" priority="373"/>
  </conditionalFormatting>
  <conditionalFormatting sqref="A1:A1048576">
    <cfRule type="duplicateValues" dxfId="13" priority="1"/>
  </conditionalFormatting>
  <conditionalFormatting sqref="B1:B554">
    <cfRule type="duplicateValues" dxfId="12" priority="393"/>
    <cfRule type="duplicateValues" dxfId="11" priority="394"/>
  </conditionalFormatting>
  <conditionalFormatting sqref="B1:B130 B228:B554">
    <cfRule type="duplicateValues" dxfId="10" priority="397"/>
    <cfRule type="duplicateValues" dxfId="9" priority="398"/>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C1:H13"/>
  <sheetViews>
    <sheetView showGridLines="0" topLeftCell="C8" workbookViewId="0">
      <selection activeCell="C8" sqref="C8"/>
    </sheetView>
  </sheetViews>
  <sheetFormatPr defaultColWidth="0" defaultRowHeight="15" zeroHeight="1" x14ac:dyDescent="0.25"/>
  <cols>
    <col min="1" max="2" width="2.7109375" hidden="1" customWidth="1"/>
    <col min="3" max="4" width="2.7109375" customWidth="1"/>
    <col min="5" max="5" width="41.28515625" bestFit="1" customWidth="1"/>
    <col min="6" max="6" width="26" bestFit="1" customWidth="1"/>
    <col min="7" max="8" width="2.7109375" customWidth="1"/>
    <col min="9" max="16384" width="2.7109375" hidden="1"/>
  </cols>
  <sheetData>
    <row r="1" spans="5:6" hidden="1" x14ac:dyDescent="0.25"/>
    <row r="2" spans="5:6" hidden="1" x14ac:dyDescent="0.25"/>
    <row r="3" spans="5:6" hidden="1" x14ac:dyDescent="0.25"/>
    <row r="4" spans="5:6" hidden="1" x14ac:dyDescent="0.25"/>
    <row r="5" spans="5:6" hidden="1" x14ac:dyDescent="0.25"/>
    <row r="6" spans="5:6" hidden="1" x14ac:dyDescent="0.25"/>
    <row r="7" spans="5:6" hidden="1" x14ac:dyDescent="0.25"/>
    <row r="8" spans="5:6" ht="36.950000000000003" customHeight="1" x14ac:dyDescent="0.25"/>
    <row r="9" spans="5:6" ht="30" customHeight="1" x14ac:dyDescent="0.25">
      <c r="E9" s="663" t="s">
        <v>1849</v>
      </c>
      <c r="F9" s="665"/>
    </row>
    <row r="10" spans="5:6" ht="20.100000000000001" customHeight="1" x14ac:dyDescent="0.25">
      <c r="E10" s="108" t="s">
        <v>1850</v>
      </c>
      <c r="F10" s="105" t="s">
        <v>1854</v>
      </c>
    </row>
    <row r="11" spans="5:6" ht="20.100000000000001" customHeight="1" x14ac:dyDescent="0.25">
      <c r="E11" s="335" t="s">
        <v>1851</v>
      </c>
      <c r="F11" s="105" t="s">
        <v>1897</v>
      </c>
    </row>
    <row r="12" spans="5:6" ht="32.25" customHeight="1" x14ac:dyDescent="0.25">
      <c r="E12" s="103" t="s">
        <v>1852</v>
      </c>
      <c r="F12" s="642">
        <v>12</v>
      </c>
    </row>
    <row r="13" spans="5:6" x14ac:dyDescent="0.25"/>
  </sheetData>
  <sheetProtection algorithmName="SHA-512" hashValue="4E65+GnWUIF4N8LUL+rETS6BL9OqQ+9eXv2L9eaHH5auKUIotrG/XVrqperbIOkA9KKS8JcPQBqsj0pgyE4JCA==" saltValue="6OB/mloqvV6i3yYZ1T9gCQ==" spinCount="100000" sheet="1" objects="1" scenarios="1"/>
  <mergeCells count="1">
    <mergeCell ref="E9:F9"/>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D1:J36"/>
  <sheetViews>
    <sheetView showGridLines="0" topLeftCell="D6" workbookViewId="0">
      <selection activeCell="D6" sqref="D6"/>
    </sheetView>
  </sheetViews>
  <sheetFormatPr defaultColWidth="0" defaultRowHeight="15" zeroHeight="1" x14ac:dyDescent="0.25"/>
  <cols>
    <col min="1" max="3" width="28.140625" style="28" hidden="1" customWidth="1"/>
    <col min="4" max="4" width="2.7109375" style="28" customWidth="1"/>
    <col min="5" max="5" width="37.28515625" style="28" customWidth="1"/>
    <col min="6" max="8" width="16.7109375" style="28" customWidth="1"/>
    <col min="9" max="9" width="20.7109375" style="28" customWidth="1"/>
    <col min="10" max="10" width="2.7109375" style="51" customWidth="1"/>
    <col min="11" max="16384" width="28.140625" style="28" hidden="1"/>
  </cols>
  <sheetData>
    <row r="1" spans="5:9" hidden="1" x14ac:dyDescent="0.25"/>
    <row r="2" spans="5:9" hidden="1" x14ac:dyDescent="0.25"/>
    <row r="3" spans="5:9" hidden="1" x14ac:dyDescent="0.25"/>
    <row r="4" spans="5:9" hidden="1" x14ac:dyDescent="0.25">
      <c r="E4"/>
    </row>
    <row r="5" spans="5:9" hidden="1" x14ac:dyDescent="0.25"/>
    <row r="6" spans="5:9" ht="36.950000000000003" customHeight="1" x14ac:dyDescent="0.25"/>
    <row r="7" spans="5:9" ht="20.100000000000001" customHeight="1" x14ac:dyDescent="0.25">
      <c r="E7" s="770" t="s">
        <v>723</v>
      </c>
      <c r="F7" s="771"/>
      <c r="G7" s="771"/>
      <c r="H7" s="772"/>
      <c r="I7" s="776" t="str">
        <f>TEXT(DATE('General Info'!$G$11,VALUE('General Info'!$E$11),'General Info'!$F$11),"MMMM DD, YYYY")</f>
        <v>September 30, 2017</v>
      </c>
    </row>
    <row r="8" spans="5:9" ht="20.100000000000001" customHeight="1" x14ac:dyDescent="0.25">
      <c r="E8" s="773" t="s">
        <v>724</v>
      </c>
      <c r="F8" s="774"/>
      <c r="G8" s="774"/>
      <c r="H8" s="775"/>
      <c r="I8" s="777"/>
    </row>
    <row r="9" spans="5:9" ht="37.5" customHeight="1" x14ac:dyDescent="0.25">
      <c r="E9" s="538" t="s">
        <v>1</v>
      </c>
      <c r="F9" s="538" t="s">
        <v>685</v>
      </c>
      <c r="G9" s="538" t="s">
        <v>702</v>
      </c>
      <c r="H9" s="538" t="s">
        <v>703</v>
      </c>
      <c r="I9" s="538" t="s">
        <v>686</v>
      </c>
    </row>
    <row r="10" spans="5:9" ht="20.100000000000001" customHeight="1" x14ac:dyDescent="0.25">
      <c r="E10" s="2" t="s">
        <v>235</v>
      </c>
      <c r="F10" s="670"/>
      <c r="G10" s="671"/>
      <c r="H10" s="671"/>
      <c r="I10" s="672"/>
    </row>
    <row r="11" spans="5:9" x14ac:dyDescent="0.25">
      <c r="E11" s="544" t="s">
        <v>1251</v>
      </c>
      <c r="F11" s="441">
        <v>585402</v>
      </c>
      <c r="G11" s="441">
        <v>546635</v>
      </c>
      <c r="H11" s="441">
        <v>746654</v>
      </c>
      <c r="I11" s="43">
        <v>1878691</v>
      </c>
    </row>
    <row r="12" spans="5:9" x14ac:dyDescent="0.25">
      <c r="E12" s="44" t="s">
        <v>687</v>
      </c>
      <c r="F12" s="442">
        <v>13961077</v>
      </c>
      <c r="G12" s="442">
        <v>782441</v>
      </c>
      <c r="H12" s="442">
        <v>6908421</v>
      </c>
      <c r="I12" s="349">
        <v>21651939</v>
      </c>
    </row>
    <row r="13" spans="5:9" ht="20.100000000000001" customHeight="1" x14ac:dyDescent="0.25">
      <c r="E13" s="2" t="s">
        <v>688</v>
      </c>
      <c r="F13" s="670"/>
      <c r="G13" s="671"/>
      <c r="H13" s="671"/>
      <c r="I13" s="672"/>
    </row>
    <row r="14" spans="5:9" x14ac:dyDescent="0.25">
      <c r="E14" s="273" t="s">
        <v>689</v>
      </c>
      <c r="F14" s="441">
        <v>709023</v>
      </c>
      <c r="G14" s="441">
        <v>506976</v>
      </c>
      <c r="H14" s="441">
        <v>590626</v>
      </c>
      <c r="I14" s="43">
        <v>1806625</v>
      </c>
    </row>
    <row r="15" spans="5:9" x14ac:dyDescent="0.25">
      <c r="E15" s="519" t="s">
        <v>1252</v>
      </c>
      <c r="F15" s="443">
        <v>10140</v>
      </c>
      <c r="G15" s="546">
        <v>0</v>
      </c>
      <c r="H15" s="451">
        <v>0</v>
      </c>
      <c r="I15" s="33">
        <v>10140</v>
      </c>
    </row>
    <row r="16" spans="5:9" x14ac:dyDescent="0.25">
      <c r="E16" s="5" t="s">
        <v>691</v>
      </c>
      <c r="F16" s="443">
        <v>379574</v>
      </c>
      <c r="G16" s="443">
        <v>30496</v>
      </c>
      <c r="H16" s="443">
        <v>418107</v>
      </c>
      <c r="I16" s="33">
        <v>828177</v>
      </c>
    </row>
    <row r="17" spans="5:9" ht="20.100000000000001" customHeight="1" x14ac:dyDescent="0.25">
      <c r="E17" s="513" t="s">
        <v>967</v>
      </c>
      <c r="F17" s="70">
        <f>SUM(F14:F16)</f>
        <v>1098737</v>
      </c>
      <c r="G17" s="70">
        <f t="shared" ref="G17:I17" si="0">SUM(G14:G16)</f>
        <v>537472</v>
      </c>
      <c r="H17" s="70">
        <f t="shared" si="0"/>
        <v>1008733</v>
      </c>
      <c r="I17" s="70">
        <f t="shared" si="0"/>
        <v>2644942</v>
      </c>
    </row>
    <row r="18" spans="5:9" x14ac:dyDescent="0.25">
      <c r="E18" s="545" t="s">
        <v>1253</v>
      </c>
      <c r="F18" s="442">
        <v>6918</v>
      </c>
      <c r="G18" s="442">
        <v>6918</v>
      </c>
      <c r="H18" s="442">
        <v>6918</v>
      </c>
      <c r="I18" s="349">
        <v>20754</v>
      </c>
    </row>
    <row r="19" spans="5:9" ht="20.100000000000001" customHeight="1" x14ac:dyDescent="0.25">
      <c r="E19" s="2" t="s">
        <v>692</v>
      </c>
      <c r="F19" s="670"/>
      <c r="G19" s="671"/>
      <c r="H19" s="671"/>
      <c r="I19" s="672"/>
    </row>
    <row r="20" spans="5:9" x14ac:dyDescent="0.25">
      <c r="E20" s="273" t="s">
        <v>693</v>
      </c>
      <c r="F20" s="441">
        <v>10338319</v>
      </c>
      <c r="G20" s="441">
        <v>24554622</v>
      </c>
      <c r="H20" s="441">
        <v>27247721</v>
      </c>
      <c r="I20" s="43">
        <v>62140662</v>
      </c>
    </row>
    <row r="21" spans="5:9" x14ac:dyDescent="0.25">
      <c r="E21" s="5" t="s">
        <v>694</v>
      </c>
      <c r="F21" s="443">
        <v>24796555</v>
      </c>
      <c r="G21" s="443">
        <v>22868730</v>
      </c>
      <c r="H21" s="443">
        <v>28831581</v>
      </c>
      <c r="I21" s="33">
        <v>76496866</v>
      </c>
    </row>
    <row r="22" spans="5:9" x14ac:dyDescent="0.25">
      <c r="E22" s="5" t="s">
        <v>695</v>
      </c>
      <c r="F22" s="443">
        <v>51795117</v>
      </c>
      <c r="G22" s="443">
        <v>33470389</v>
      </c>
      <c r="H22" s="443">
        <v>28258980</v>
      </c>
      <c r="I22" s="33">
        <v>113524486</v>
      </c>
    </row>
    <row r="23" spans="5:9" x14ac:dyDescent="0.25">
      <c r="E23" s="5" t="s">
        <v>696</v>
      </c>
      <c r="F23" s="443">
        <v>264722146</v>
      </c>
      <c r="G23" s="443">
        <v>16665076</v>
      </c>
      <c r="H23" s="443">
        <v>273198525</v>
      </c>
      <c r="I23" s="33">
        <v>554585747</v>
      </c>
    </row>
    <row r="24" spans="5:9" x14ac:dyDescent="0.25">
      <c r="E24" s="5" t="s">
        <v>697</v>
      </c>
      <c r="F24" s="443">
        <v>22603204</v>
      </c>
      <c r="G24" s="443">
        <v>177479321</v>
      </c>
      <c r="H24" s="443">
        <v>38916342</v>
      </c>
      <c r="I24" s="33">
        <v>238998867</v>
      </c>
    </row>
    <row r="25" spans="5:9" x14ac:dyDescent="0.25">
      <c r="E25" s="274" t="s">
        <v>698</v>
      </c>
      <c r="F25" s="442">
        <v>44326123</v>
      </c>
      <c r="G25" s="442">
        <v>8494354</v>
      </c>
      <c r="H25" s="442">
        <v>29608066</v>
      </c>
      <c r="I25" s="349">
        <v>82428543</v>
      </c>
    </row>
    <row r="26" spans="5:9" ht="20.100000000000001" customHeight="1" x14ac:dyDescent="0.25">
      <c r="E26" s="513" t="s">
        <v>968</v>
      </c>
      <c r="F26" s="70">
        <f>SUM(F20:F25)</f>
        <v>418581464</v>
      </c>
      <c r="G26" s="70">
        <f t="shared" ref="G26:I26" si="1">SUM(G20:G25)</f>
        <v>283532492</v>
      </c>
      <c r="H26" s="70">
        <f t="shared" si="1"/>
        <v>426061215</v>
      </c>
      <c r="I26" s="70">
        <f t="shared" si="1"/>
        <v>1128175171</v>
      </c>
    </row>
    <row r="27" spans="5:9" ht="20.100000000000001" customHeight="1" x14ac:dyDescent="0.25">
      <c r="E27" s="539" t="s">
        <v>1254</v>
      </c>
      <c r="F27" s="70">
        <v>434233598</v>
      </c>
      <c r="G27" s="70">
        <v>285405958</v>
      </c>
      <c r="H27" s="70">
        <v>434731941</v>
      </c>
      <c r="I27" s="70">
        <v>1154371497</v>
      </c>
    </row>
    <row r="28" spans="5:9" ht="20.100000000000001" customHeight="1" x14ac:dyDescent="0.25">
      <c r="E28" s="2" t="s">
        <v>227</v>
      </c>
      <c r="F28" s="670"/>
      <c r="G28" s="671"/>
      <c r="H28" s="671"/>
      <c r="I28" s="672"/>
    </row>
    <row r="29" spans="5:9" x14ac:dyDescent="0.25">
      <c r="E29" s="544" t="s">
        <v>1255</v>
      </c>
      <c r="F29" s="444">
        <v>542</v>
      </c>
      <c r="G29" s="441">
        <v>21250</v>
      </c>
      <c r="H29" s="444">
        <v>75</v>
      </c>
      <c r="I29" s="43">
        <v>21867</v>
      </c>
    </row>
    <row r="30" spans="5:9" ht="15" customHeight="1" x14ac:dyDescent="0.25">
      <c r="E30" s="32" t="s">
        <v>699</v>
      </c>
      <c r="F30" s="443">
        <v>2625891</v>
      </c>
      <c r="G30" s="451">
        <v>0</v>
      </c>
      <c r="H30" s="443">
        <v>26075</v>
      </c>
      <c r="I30" s="33">
        <v>2651966</v>
      </c>
    </row>
    <row r="31" spans="5:9" x14ac:dyDescent="0.25">
      <c r="E31" s="44" t="s">
        <v>700</v>
      </c>
      <c r="F31" s="442">
        <v>10338319</v>
      </c>
      <c r="G31" s="442">
        <v>24554622</v>
      </c>
      <c r="H31" s="442">
        <v>27247721</v>
      </c>
      <c r="I31" s="349">
        <v>62140662</v>
      </c>
    </row>
    <row r="32" spans="5:9" ht="20.100000000000001" customHeight="1" x14ac:dyDescent="0.25">
      <c r="E32" s="539" t="s">
        <v>1256</v>
      </c>
      <c r="F32" s="70">
        <v>12964752</v>
      </c>
      <c r="G32" s="70">
        <v>24575872</v>
      </c>
      <c r="H32" s="70">
        <v>27273871</v>
      </c>
      <c r="I32" s="70">
        <v>64814495</v>
      </c>
    </row>
    <row r="33" spans="5:9" ht="20.100000000000001" customHeight="1" x14ac:dyDescent="0.25">
      <c r="E33" s="2" t="s">
        <v>297</v>
      </c>
      <c r="F33" s="670"/>
      <c r="G33" s="671"/>
      <c r="H33" s="671"/>
      <c r="I33" s="672"/>
    </row>
    <row r="34" spans="5:9" ht="15" customHeight="1" x14ac:dyDescent="0.25">
      <c r="E34" s="350" t="s">
        <v>701</v>
      </c>
      <c r="F34" s="445">
        <v>421268846</v>
      </c>
      <c r="G34" s="445">
        <v>260830086</v>
      </c>
      <c r="H34" s="445">
        <v>407458070</v>
      </c>
      <c r="I34" s="45">
        <v>1089557002</v>
      </c>
    </row>
    <row r="35" spans="5:9" ht="20.100000000000001" customHeight="1" x14ac:dyDescent="0.25">
      <c r="E35" s="539" t="s">
        <v>1257</v>
      </c>
      <c r="F35" s="70">
        <v>421268846</v>
      </c>
      <c r="G35" s="70">
        <v>260830086</v>
      </c>
      <c r="H35" s="70">
        <v>407458070</v>
      </c>
      <c r="I35" s="70">
        <v>1089557002</v>
      </c>
    </row>
    <row r="36" spans="5:9" x14ac:dyDescent="0.25"/>
  </sheetData>
  <sheetProtection algorithmName="SHA-512" hashValue="k/zP27Q8i/okoykvgMv7lGBEDg7Cpv3P+JEIJPeWCEtGQllT7HU06eHa+uIRqUxfZ+sTW1UsUDf9FzfvOjh/HQ==" saltValue="Il+ChA+cZsEI/FXcAr8ifA==" spinCount="100000" sheet="1" objects="1" scenarios="1"/>
  <mergeCells count="8">
    <mergeCell ref="F13:I13"/>
    <mergeCell ref="F19:I19"/>
    <mergeCell ref="F28:I28"/>
    <mergeCell ref="F33:I33"/>
    <mergeCell ref="E7:H7"/>
    <mergeCell ref="E8:H8"/>
    <mergeCell ref="I7:I8"/>
    <mergeCell ref="F10:I10"/>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D1:J34"/>
  <sheetViews>
    <sheetView showGridLines="0" topLeftCell="D8" workbookViewId="0">
      <selection activeCell="D8" sqref="D8"/>
    </sheetView>
  </sheetViews>
  <sheetFormatPr defaultColWidth="0" defaultRowHeight="15" zeroHeight="1" x14ac:dyDescent="0.25"/>
  <cols>
    <col min="1" max="3" width="9.140625" style="28" hidden="1" customWidth="1"/>
    <col min="4" max="4" width="2.7109375" style="28" customWidth="1"/>
    <col min="5" max="5" width="37.85546875" style="28" customWidth="1"/>
    <col min="6" max="8" width="16.7109375" style="28" customWidth="1"/>
    <col min="9" max="9" width="20.7109375" style="28" customWidth="1"/>
    <col min="10" max="10" width="2.7109375" style="28" customWidth="1"/>
    <col min="11" max="16384" width="9.140625" style="28"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idden="1" x14ac:dyDescent="0.25"/>
    <row r="8" spans="5:10" ht="36.950000000000003" customHeight="1" x14ac:dyDescent="0.25"/>
    <row r="9" spans="5:10" ht="20.100000000000001" customHeight="1" x14ac:dyDescent="0.25">
      <c r="E9" s="778" t="s">
        <v>725</v>
      </c>
      <c r="F9" s="779"/>
      <c r="G9" s="779"/>
      <c r="H9" s="780"/>
      <c r="I9" s="252" t="s">
        <v>346</v>
      </c>
    </row>
    <row r="10" spans="5:10" ht="30" x14ac:dyDescent="0.25">
      <c r="E10" s="407" t="s">
        <v>1</v>
      </c>
      <c r="F10" s="407" t="s">
        <v>685</v>
      </c>
      <c r="G10" s="407" t="s">
        <v>702</v>
      </c>
      <c r="H10" s="407" t="s">
        <v>703</v>
      </c>
      <c r="I10" s="407" t="s">
        <v>686</v>
      </c>
      <c r="J10" s="82"/>
    </row>
    <row r="11" spans="5:10" ht="20.100000000000001" customHeight="1" x14ac:dyDescent="0.25">
      <c r="E11" s="198" t="s">
        <v>704</v>
      </c>
      <c r="F11" s="705"/>
      <c r="G11" s="705"/>
      <c r="H11" s="705"/>
      <c r="I11" s="705"/>
      <c r="J11" s="82"/>
    </row>
    <row r="12" spans="5:10" ht="20.100000000000001" customHeight="1" x14ac:dyDescent="0.25">
      <c r="E12" s="2" t="s">
        <v>26</v>
      </c>
      <c r="F12" s="698"/>
      <c r="G12" s="698"/>
      <c r="H12" s="698"/>
      <c r="I12" s="698"/>
      <c r="J12" s="82"/>
    </row>
    <row r="13" spans="5:10" x14ac:dyDescent="0.25">
      <c r="E13" s="29" t="s">
        <v>705</v>
      </c>
      <c r="F13" s="448">
        <v>10310841</v>
      </c>
      <c r="G13" s="448">
        <v>1378771</v>
      </c>
      <c r="H13" s="448">
        <v>7562663</v>
      </c>
      <c r="I13" s="64">
        <f t="shared" ref="I13:I16" si="0">IF(COUNT(F13:H13),SUM(F13:H13),"")</f>
        <v>19252275</v>
      </c>
      <c r="J13" s="82"/>
    </row>
    <row r="14" spans="5:10" x14ac:dyDescent="0.25">
      <c r="E14" s="32" t="s">
        <v>706</v>
      </c>
      <c r="F14" s="451">
        <v>1524795</v>
      </c>
      <c r="G14" s="451">
        <v>1175184</v>
      </c>
      <c r="H14" s="451">
        <v>2413249</v>
      </c>
      <c r="I14" s="64">
        <f t="shared" si="0"/>
        <v>5113228</v>
      </c>
      <c r="J14" s="82"/>
    </row>
    <row r="15" spans="5:10" x14ac:dyDescent="0.25">
      <c r="E15" s="30" t="s">
        <v>707</v>
      </c>
      <c r="F15" s="449">
        <v>0</v>
      </c>
      <c r="G15" s="449">
        <v>1735698</v>
      </c>
      <c r="H15" s="449">
        <v>1969105</v>
      </c>
      <c r="I15" s="64">
        <f t="shared" si="0"/>
        <v>3704803</v>
      </c>
      <c r="J15" s="82"/>
    </row>
    <row r="16" spans="5:10" ht="20.100000000000001" customHeight="1" x14ac:dyDescent="0.25">
      <c r="E16" s="405" t="s">
        <v>708</v>
      </c>
      <c r="F16" s="70">
        <v>11835636</v>
      </c>
      <c r="G16" s="70">
        <v>4289653</v>
      </c>
      <c r="H16" s="70">
        <v>11945017</v>
      </c>
      <c r="I16" s="70">
        <f t="shared" si="0"/>
        <v>28070306</v>
      </c>
      <c r="J16" s="82"/>
    </row>
    <row r="17" spans="5:10" ht="20.100000000000001" customHeight="1" x14ac:dyDescent="0.25">
      <c r="E17" s="2" t="s">
        <v>709</v>
      </c>
      <c r="F17" s="740"/>
      <c r="G17" s="740"/>
      <c r="H17" s="740"/>
      <c r="I17" s="740"/>
      <c r="J17" s="82"/>
    </row>
    <row r="18" spans="5:10" ht="30" x14ac:dyDescent="0.25">
      <c r="E18" s="29" t="s">
        <v>710</v>
      </c>
      <c r="F18" s="64">
        <v>37486478</v>
      </c>
      <c r="G18" s="64">
        <v>23594538</v>
      </c>
      <c r="H18" s="64">
        <v>37560020</v>
      </c>
      <c r="I18" s="64">
        <f t="shared" ref="I18:I33" si="1">IF(COUNT(F18:H18),SUM(F18:H18),"")</f>
        <v>98641036</v>
      </c>
      <c r="J18" s="82"/>
    </row>
    <row r="19" spans="5:10" x14ac:dyDescent="0.25">
      <c r="E19" s="32" t="s">
        <v>711</v>
      </c>
      <c r="F19" s="66">
        <v>2148496</v>
      </c>
      <c r="G19" s="66">
        <v>2246003</v>
      </c>
      <c r="H19" s="66">
        <v>1612855</v>
      </c>
      <c r="I19" s="66">
        <f t="shared" si="1"/>
        <v>6007354</v>
      </c>
      <c r="J19" s="82"/>
    </row>
    <row r="20" spans="5:10" x14ac:dyDescent="0.25">
      <c r="E20" s="30" t="s">
        <v>712</v>
      </c>
      <c r="F20" s="68">
        <v>6496036</v>
      </c>
      <c r="G20" s="68">
        <v>3839409</v>
      </c>
      <c r="H20" s="68">
        <v>7425037</v>
      </c>
      <c r="I20" s="68">
        <f t="shared" si="1"/>
        <v>17760482</v>
      </c>
      <c r="J20" s="82"/>
    </row>
    <row r="21" spans="5:10" ht="20.100000000000001" customHeight="1" x14ac:dyDescent="0.25">
      <c r="E21" s="405" t="s">
        <v>713</v>
      </c>
      <c r="F21" s="70">
        <v>46131010</v>
      </c>
      <c r="G21" s="70">
        <v>29679950</v>
      </c>
      <c r="H21" s="70">
        <v>46597912</v>
      </c>
      <c r="I21" s="70">
        <f t="shared" si="1"/>
        <v>122408872</v>
      </c>
      <c r="J21" s="82"/>
    </row>
    <row r="22" spans="5:10" x14ac:dyDescent="0.25">
      <c r="E22" s="31" t="s">
        <v>714</v>
      </c>
      <c r="F22" s="277">
        <v>1645556</v>
      </c>
      <c r="G22" s="277">
        <v>480569</v>
      </c>
      <c r="H22" s="277">
        <v>1528238</v>
      </c>
      <c r="I22" s="277">
        <f t="shared" si="1"/>
        <v>3654363</v>
      </c>
      <c r="J22" s="82"/>
    </row>
    <row r="23" spans="5:10" ht="20.100000000000001" customHeight="1" x14ac:dyDescent="0.25">
      <c r="E23" s="405" t="s">
        <v>715</v>
      </c>
      <c r="F23" s="70">
        <f>IF(COUNT(F21:F22),SUM(F21)-SUM(F22),"")</f>
        <v>44485454</v>
      </c>
      <c r="G23" s="70">
        <f t="shared" ref="G23:I23" si="2">IF(COUNT(G21:G22),SUM(G21)-SUM(G22),"")</f>
        <v>29199381</v>
      </c>
      <c r="H23" s="70">
        <f t="shared" si="2"/>
        <v>45069674</v>
      </c>
      <c r="I23" s="70">
        <f t="shared" si="2"/>
        <v>118754509</v>
      </c>
      <c r="J23" s="82"/>
    </row>
    <row r="24" spans="5:10" ht="20.100000000000001" customHeight="1" x14ac:dyDescent="0.25">
      <c r="E24" s="405" t="s">
        <v>716</v>
      </c>
      <c r="F24" s="70">
        <v>56321090</v>
      </c>
      <c r="G24" s="70">
        <v>33489034</v>
      </c>
      <c r="H24" s="70">
        <v>57014691</v>
      </c>
      <c r="I24" s="70">
        <f t="shared" si="1"/>
        <v>146824815</v>
      </c>
      <c r="J24" s="82"/>
    </row>
    <row r="25" spans="5:10" ht="20.100000000000001" customHeight="1" x14ac:dyDescent="0.25">
      <c r="E25" s="2" t="s">
        <v>717</v>
      </c>
      <c r="F25" s="740"/>
      <c r="G25" s="740"/>
      <c r="H25" s="740"/>
      <c r="I25" s="740"/>
      <c r="J25" s="82"/>
    </row>
    <row r="26" spans="5:10" x14ac:dyDescent="0.25">
      <c r="E26" s="3" t="s">
        <v>718</v>
      </c>
      <c r="F26" s="64">
        <v>20010232</v>
      </c>
      <c r="G26" s="64">
        <v>14945355</v>
      </c>
      <c r="H26" s="64">
        <v>22935743</v>
      </c>
      <c r="I26" s="64">
        <f t="shared" si="1"/>
        <v>57891330</v>
      </c>
      <c r="J26" s="82"/>
    </row>
    <row r="27" spans="5:10" ht="30" x14ac:dyDescent="0.25">
      <c r="E27" s="5" t="s">
        <v>719</v>
      </c>
      <c r="F27" s="66">
        <v>2201137</v>
      </c>
      <c r="G27" s="66">
        <v>2846354</v>
      </c>
      <c r="H27" s="66">
        <v>4800611</v>
      </c>
      <c r="I27" s="66">
        <f t="shared" si="1"/>
        <v>9848102</v>
      </c>
      <c r="J27" s="82"/>
    </row>
    <row r="28" spans="5:10" x14ac:dyDescent="0.25">
      <c r="E28" s="5" t="s">
        <v>720</v>
      </c>
      <c r="F28" s="66">
        <v>175280</v>
      </c>
      <c r="G28" s="66">
        <v>31057</v>
      </c>
      <c r="H28" s="66">
        <v>142359</v>
      </c>
      <c r="I28" s="66">
        <f t="shared" si="1"/>
        <v>348696</v>
      </c>
      <c r="J28" s="82"/>
    </row>
    <row r="29" spans="5:10" x14ac:dyDescent="0.25">
      <c r="E29" s="7" t="s">
        <v>721</v>
      </c>
      <c r="F29" s="68">
        <v>18013</v>
      </c>
      <c r="G29" s="68">
        <v>46677</v>
      </c>
      <c r="H29" s="68">
        <v>33715</v>
      </c>
      <c r="I29" s="68">
        <f t="shared" si="1"/>
        <v>98405</v>
      </c>
      <c r="J29" s="82"/>
    </row>
    <row r="30" spans="5:10" ht="20.100000000000001" customHeight="1" x14ac:dyDescent="0.25">
      <c r="E30" s="405" t="s">
        <v>722</v>
      </c>
      <c r="F30" s="70">
        <f>IF(COUNT(F26:F29),SUM(F26:F29),"")</f>
        <v>22404662</v>
      </c>
      <c r="G30" s="70">
        <f t="shared" ref="G30:I30" si="3">IF(COUNT(G26:G29),SUM(G26:G29),"")</f>
        <v>17869443</v>
      </c>
      <c r="H30" s="70">
        <f t="shared" si="3"/>
        <v>27912428</v>
      </c>
      <c r="I30" s="70">
        <f t="shared" si="3"/>
        <v>68186533</v>
      </c>
      <c r="J30" s="82"/>
    </row>
    <row r="31" spans="5:10" ht="20.100000000000001" customHeight="1" x14ac:dyDescent="0.25">
      <c r="E31" s="539" t="s">
        <v>1274</v>
      </c>
      <c r="F31" s="70">
        <v>33916428</v>
      </c>
      <c r="G31" s="70">
        <v>15619591</v>
      </c>
      <c r="H31" s="70">
        <v>29102263</v>
      </c>
      <c r="I31" s="70">
        <f t="shared" si="1"/>
        <v>78638282</v>
      </c>
      <c r="J31" s="82"/>
    </row>
    <row r="32" spans="5:10" x14ac:dyDescent="0.25">
      <c r="E32" s="547" t="s">
        <v>1275</v>
      </c>
      <c r="F32" s="277">
        <v>387352418</v>
      </c>
      <c r="G32" s="277">
        <v>245210495</v>
      </c>
      <c r="H32" s="277">
        <v>378355807</v>
      </c>
      <c r="I32" s="277">
        <f t="shared" si="1"/>
        <v>1010918720</v>
      </c>
      <c r="J32" s="82"/>
    </row>
    <row r="33" spans="5:10" ht="20.100000000000001" customHeight="1" x14ac:dyDescent="0.25">
      <c r="E33" s="539" t="s">
        <v>1276</v>
      </c>
      <c r="F33" s="70">
        <v>421268846</v>
      </c>
      <c r="G33" s="70">
        <v>260830086</v>
      </c>
      <c r="H33" s="70">
        <v>407458070</v>
      </c>
      <c r="I33" s="70">
        <f t="shared" si="1"/>
        <v>1089557002</v>
      </c>
      <c r="J33" s="82"/>
    </row>
    <row r="34" spans="5:10" x14ac:dyDescent="0.25"/>
  </sheetData>
  <sheetProtection algorithmName="SHA-512" hashValue="dC412fmHENs9na0j+YYWGMKhhwZ6n/A8FBB21MLttanPBcsnGMoYKRbEX4bBcX7YcpdChwIkEJrFG0Rpztuyig==" saltValue="7IXr2pschinGiWyetyiT4A==" spinCount="100000" sheet="1" objects="1" scenarios="1"/>
  <mergeCells count="5">
    <mergeCell ref="F11:I11"/>
    <mergeCell ref="F12:I12"/>
    <mergeCell ref="F17:I17"/>
    <mergeCell ref="F25:I25"/>
    <mergeCell ref="E9:H9"/>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K40"/>
  <sheetViews>
    <sheetView showGridLines="0" topLeftCell="D8" workbookViewId="0">
      <selection activeCell="D8" sqref="D8"/>
    </sheetView>
  </sheetViews>
  <sheetFormatPr defaultColWidth="0" defaultRowHeight="15" zeroHeight="1" x14ac:dyDescent="0.25"/>
  <cols>
    <col min="1" max="3" width="10.7109375" style="28" hidden="1" customWidth="1"/>
    <col min="4" max="4" width="2.7109375" style="28" customWidth="1"/>
    <col min="5" max="5" width="37.85546875" style="28" customWidth="1"/>
    <col min="6" max="9" width="16.7109375" style="28" customWidth="1"/>
    <col min="10" max="10" width="20.7109375" style="28" customWidth="1"/>
    <col min="11" max="11" width="2.7109375" style="28" customWidth="1"/>
    <col min="12" max="16384" width="6.42578125" style="28"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t="28.5" hidden="1" customHeight="1" x14ac:dyDescent="0.25">
      <c r="E7" s="27"/>
    </row>
    <row r="8" spans="5:10" ht="36.950000000000003" customHeight="1" x14ac:dyDescent="0.25"/>
    <row r="9" spans="5:10" ht="20.100000000000001" customHeight="1" x14ac:dyDescent="0.25">
      <c r="E9" s="512" t="s">
        <v>1</v>
      </c>
      <c r="F9" s="781" t="s">
        <v>63</v>
      </c>
      <c r="G9" s="781"/>
      <c r="H9" s="781"/>
      <c r="I9" s="781"/>
      <c r="J9" s="176" t="str">
        <f>TEXT(DATE('General Info'!$G$11,VALUE('General Info'!$E$11),'General Info'!$F$11),"MMMM DD, YYYY")</f>
        <v>September 30, 2017</v>
      </c>
    </row>
    <row r="10" spans="5:10" ht="30" x14ac:dyDescent="0.25">
      <c r="E10" s="1" t="s">
        <v>64</v>
      </c>
      <c r="F10" s="1" t="s">
        <v>65</v>
      </c>
      <c r="G10" s="1" t="s">
        <v>66</v>
      </c>
      <c r="H10" s="1" t="s">
        <v>67</v>
      </c>
      <c r="I10" s="1" t="s">
        <v>68</v>
      </c>
      <c r="J10" s="540" t="s">
        <v>1282</v>
      </c>
    </row>
    <row r="11" spans="5:10" ht="20.100000000000001" customHeight="1" x14ac:dyDescent="0.25">
      <c r="E11" s="2" t="s">
        <v>1844</v>
      </c>
      <c r="F11" s="698"/>
      <c r="G11" s="698"/>
      <c r="H11" s="698"/>
      <c r="I11" s="698"/>
      <c r="J11" s="698"/>
    </row>
    <row r="12" spans="5:10" x14ac:dyDescent="0.25">
      <c r="E12" s="549" t="s">
        <v>1296</v>
      </c>
      <c r="F12" s="448">
        <v>72545</v>
      </c>
      <c r="G12" s="448"/>
      <c r="H12" s="448">
        <v>-1895</v>
      </c>
      <c r="I12" s="455">
        <f>F12+G12+H12</f>
        <v>70650</v>
      </c>
      <c r="J12" s="64">
        <v>2080</v>
      </c>
    </row>
    <row r="13" spans="5:10" x14ac:dyDescent="0.25">
      <c r="E13" s="550" t="s">
        <v>1297</v>
      </c>
      <c r="F13" s="449">
        <v>13418</v>
      </c>
      <c r="G13" s="449">
        <v>55180</v>
      </c>
      <c r="H13" s="449">
        <v>-3347</v>
      </c>
      <c r="I13" s="455">
        <f>F13+G13+H13</f>
        <v>65251</v>
      </c>
      <c r="J13" s="68">
        <v>3318</v>
      </c>
    </row>
    <row r="14" spans="5:10" ht="20.100000000000001" customHeight="1" x14ac:dyDescent="0.25">
      <c r="E14" s="624" t="s">
        <v>1845</v>
      </c>
      <c r="F14" s="70">
        <f>IF(COUNT(F12:F13),SUM(F12:F13),"")</f>
        <v>85963</v>
      </c>
      <c r="G14" s="70">
        <f>IF(COUNT(G12:G13),SUM(G12:G13),"")</f>
        <v>55180</v>
      </c>
      <c r="H14" s="70">
        <f>IF(COUNT(H12:H13),SUM(H12:H13),"")</f>
        <v>-5242</v>
      </c>
      <c r="I14" s="70">
        <f>IF(COUNT(I12:I13),SUM(I12:I13),"")</f>
        <v>135901</v>
      </c>
      <c r="J14" s="70">
        <f>IF(COUNT(J12:J13),SUM(J12:J13),"")</f>
        <v>5398</v>
      </c>
    </row>
    <row r="15" spans="5:10" ht="30" x14ac:dyDescent="0.25">
      <c r="E15" s="548" t="s">
        <v>1299</v>
      </c>
      <c r="F15" s="450">
        <v>4441</v>
      </c>
      <c r="G15" s="450"/>
      <c r="H15" s="450">
        <v>-473</v>
      </c>
      <c r="I15" s="455">
        <f>F15+G15+H15</f>
        <v>3968</v>
      </c>
      <c r="J15" s="277"/>
    </row>
    <row r="16" spans="5:10" ht="20.100000000000001" customHeight="1" x14ac:dyDescent="0.25">
      <c r="E16" s="539" t="s">
        <v>1298</v>
      </c>
      <c r="F16" s="70">
        <f>+IF(COUNT(F14:F15),SUM(F14:F15),"")</f>
        <v>90404</v>
      </c>
      <c r="G16" s="70">
        <f>+IF(COUNT(G14:G15),SUM(G14:G15),"")</f>
        <v>55180</v>
      </c>
      <c r="H16" s="70">
        <f>+IF(COUNT(H14:H15),SUM(H14:H15),"")</f>
        <v>-5715</v>
      </c>
      <c r="I16" s="70">
        <f>+IF(COUNT(I14:I15),SUM(I14:I15),"")</f>
        <v>139869</v>
      </c>
      <c r="J16" s="70">
        <f>+IF(COUNT(J14:J15),SUM(J14:J15),"")</f>
        <v>5398</v>
      </c>
    </row>
    <row r="17" spans="5:10" x14ac:dyDescent="0.25">
      <c r="E17" s="29" t="s">
        <v>71</v>
      </c>
      <c r="F17" s="448">
        <v>50632</v>
      </c>
      <c r="G17" s="448">
        <v>51886</v>
      </c>
      <c r="H17" s="448">
        <v>-46450</v>
      </c>
      <c r="I17" s="455">
        <f>F17+G17+H17</f>
        <v>56068</v>
      </c>
      <c r="J17" s="64">
        <v>12595</v>
      </c>
    </row>
    <row r="18" spans="5:10" x14ac:dyDescent="0.25">
      <c r="E18" s="551" t="s">
        <v>1300</v>
      </c>
      <c r="F18" s="451">
        <v>14493</v>
      </c>
      <c r="G18" s="451">
        <v>2335</v>
      </c>
      <c r="H18" s="451">
        <v>-736</v>
      </c>
      <c r="I18" s="455">
        <f>F18+G18+H18</f>
        <v>16092</v>
      </c>
      <c r="J18" s="66">
        <v>719</v>
      </c>
    </row>
    <row r="19" spans="5:10" x14ac:dyDescent="0.25">
      <c r="E19" s="34" t="s">
        <v>73</v>
      </c>
      <c r="F19" s="452">
        <v>1162</v>
      </c>
      <c r="G19" s="452">
        <v>12</v>
      </c>
      <c r="H19" s="452"/>
      <c r="I19" s="455">
        <f>F19+G19+H19</f>
        <v>1174</v>
      </c>
      <c r="J19" s="65"/>
    </row>
    <row r="20" spans="5:10" x14ac:dyDescent="0.25">
      <c r="E20" s="30" t="s">
        <v>74</v>
      </c>
      <c r="F20" s="449">
        <v>1564</v>
      </c>
      <c r="G20" s="449"/>
      <c r="H20" s="449">
        <v>-37</v>
      </c>
      <c r="I20" s="455">
        <f>F20+G20+H20</f>
        <v>1527</v>
      </c>
      <c r="J20" s="68">
        <v>37</v>
      </c>
    </row>
    <row r="21" spans="5:10" ht="30" x14ac:dyDescent="0.25">
      <c r="E21" s="14" t="s">
        <v>75</v>
      </c>
      <c r="F21" s="70">
        <f>IF(COUNT(F16:F20),SUM(F16:F20),"")</f>
        <v>158255</v>
      </c>
      <c r="G21" s="70">
        <f>IF(COUNT(G16:G20),SUM(G16:G20),"")</f>
        <v>109413</v>
      </c>
      <c r="H21" s="70">
        <f>IF(COUNT(H16:H20),SUM(H16:H20),"")</f>
        <v>-52938</v>
      </c>
      <c r="I21" s="70">
        <f>IF(COUNT(I16:I20),SUM(I16:I20),"")</f>
        <v>214730</v>
      </c>
      <c r="J21" s="70">
        <f>IF(COUNT(J16:J20),SUM(J16:J20),"")</f>
        <v>18749</v>
      </c>
    </row>
    <row r="22" spans="5:10" x14ac:dyDescent="0.25">
      <c r="E22" s="35" t="s">
        <v>1301</v>
      </c>
      <c r="F22" s="453">
        <v>57939</v>
      </c>
      <c r="G22" s="448">
        <v>14934</v>
      </c>
      <c r="H22" s="453">
        <v>0</v>
      </c>
      <c r="I22" s="455">
        <f>F22+G22+H22</f>
        <v>72873</v>
      </c>
      <c r="J22" s="63">
        <v>0</v>
      </c>
    </row>
    <row r="23" spans="5:10" x14ac:dyDescent="0.25">
      <c r="E23" s="36" t="s">
        <v>1302</v>
      </c>
      <c r="F23" s="454">
        <v>57075</v>
      </c>
      <c r="G23" s="448">
        <v>6580</v>
      </c>
      <c r="H23" s="454">
        <v>0</v>
      </c>
      <c r="I23" s="455">
        <f>F23+G23+H23</f>
        <v>63655</v>
      </c>
      <c r="J23" s="67">
        <v>0</v>
      </c>
    </row>
    <row r="24" spans="5:10" ht="30" x14ac:dyDescent="0.25">
      <c r="E24" s="14" t="s">
        <v>76</v>
      </c>
      <c r="F24" s="70">
        <f>IF(COUNT(F21:F23),SUM(F21:F23),"")</f>
        <v>273269</v>
      </c>
      <c r="G24" s="70">
        <f>IF(COUNT(G21:G23),SUM(G21:G23),"")</f>
        <v>130927</v>
      </c>
      <c r="H24" s="70">
        <f>IF(COUNT(H21:H23),SUM(H21:H23),"")</f>
        <v>-52938</v>
      </c>
      <c r="I24" s="70">
        <f>IF(COUNT(I21:I23),SUM(I21:I23),"")</f>
        <v>351258</v>
      </c>
      <c r="J24" s="70">
        <f>IF(COUNT(J21:J23),SUM(J21:J23),"")</f>
        <v>18749</v>
      </c>
    </row>
    <row r="25" spans="5:10" ht="20.100000000000001" customHeight="1" x14ac:dyDescent="0.25"/>
    <row r="26" spans="5:10" ht="30" x14ac:dyDescent="0.25">
      <c r="E26" s="37" t="s">
        <v>77</v>
      </c>
      <c r="F26" s="37" t="s">
        <v>78</v>
      </c>
      <c r="G26" s="37" t="s">
        <v>66</v>
      </c>
      <c r="H26" s="37" t="s">
        <v>67</v>
      </c>
      <c r="I26" s="37" t="s">
        <v>79</v>
      </c>
      <c r="J26" s="37" t="s">
        <v>80</v>
      </c>
    </row>
    <row r="27" spans="5:10" ht="20.100000000000001" customHeight="1" x14ac:dyDescent="0.25">
      <c r="E27" s="2" t="s">
        <v>81</v>
      </c>
      <c r="F27" s="698"/>
      <c r="G27" s="698"/>
      <c r="H27" s="698"/>
      <c r="I27" s="698"/>
      <c r="J27" s="698"/>
    </row>
    <row r="28" spans="5:10" x14ac:dyDescent="0.25">
      <c r="E28" s="29" t="s">
        <v>69</v>
      </c>
      <c r="F28" s="448">
        <v>372265</v>
      </c>
      <c r="G28" s="448">
        <v>98140</v>
      </c>
      <c r="H28" s="448">
        <v>-55510</v>
      </c>
      <c r="I28" s="455">
        <v>414895</v>
      </c>
      <c r="J28" s="64">
        <v>7895</v>
      </c>
    </row>
    <row r="29" spans="5:10" x14ac:dyDescent="0.25">
      <c r="E29" s="30" t="s">
        <v>70</v>
      </c>
      <c r="F29" s="449">
        <v>26965</v>
      </c>
      <c r="G29" s="449">
        <v>22556</v>
      </c>
      <c r="H29" s="449">
        <v>-6792</v>
      </c>
      <c r="I29" s="456">
        <v>42729</v>
      </c>
      <c r="J29" s="68">
        <v>3770</v>
      </c>
    </row>
    <row r="30" spans="5:10" ht="20.100000000000001" customHeight="1" x14ac:dyDescent="0.25">
      <c r="E30" s="14" t="s">
        <v>82</v>
      </c>
      <c r="F30" s="70">
        <f>IF(COUNT(F28:F29),SUM(F28:F29),"")</f>
        <v>399230</v>
      </c>
      <c r="G30" s="70">
        <f>IF(COUNT(G28:G29),SUM(G28:G29),"")</f>
        <v>120696</v>
      </c>
      <c r="H30" s="70">
        <f>IF(COUNT(H28:H29),SUM(H28:H29),"")</f>
        <v>-62302</v>
      </c>
      <c r="I30" s="70">
        <f>IF(COUNT(I28:I29),SUM(I28:I29),"")</f>
        <v>457624</v>
      </c>
      <c r="J30" s="70">
        <f>IF(COUNT(J28:J29),SUM(J28:J29),"")</f>
        <v>11665</v>
      </c>
    </row>
    <row r="31" spans="5:10" ht="30" x14ac:dyDescent="0.25">
      <c r="E31" s="549" t="s">
        <v>1277</v>
      </c>
      <c r="F31" s="448">
        <v>7430</v>
      </c>
      <c r="G31" s="448">
        <v>6796</v>
      </c>
      <c r="H31" s="448">
        <v>-351</v>
      </c>
      <c r="I31" s="455">
        <v>13875</v>
      </c>
      <c r="J31" s="64">
        <v>0</v>
      </c>
    </row>
    <row r="32" spans="5:10" ht="15" customHeight="1" x14ac:dyDescent="0.25">
      <c r="E32" s="30" t="s">
        <v>83</v>
      </c>
      <c r="F32" s="449">
        <v>-9</v>
      </c>
      <c r="G32" s="449">
        <v>9</v>
      </c>
      <c r="H32" s="449">
        <v>0</v>
      </c>
      <c r="I32" s="456">
        <v>0</v>
      </c>
      <c r="J32" s="68">
        <v>0</v>
      </c>
    </row>
    <row r="33" spans="5:10" ht="20.100000000000001" customHeight="1" x14ac:dyDescent="0.25">
      <c r="E33" s="14" t="s">
        <v>84</v>
      </c>
      <c r="F33" s="70">
        <f>IF(COUNT(F30:F32),SUM(F30:F32),"")</f>
        <v>406651</v>
      </c>
      <c r="G33" s="70">
        <f>IF(COUNT(G30:G32),SUM(G30:G32),"")</f>
        <v>127501</v>
      </c>
      <c r="H33" s="70">
        <f>IF(COUNT(H30:H32),SUM(H30:H32),"")</f>
        <v>-62653</v>
      </c>
      <c r="I33" s="70">
        <f>IF(COUNT(I30:I32),SUM(I30:I32),"")</f>
        <v>471499</v>
      </c>
      <c r="J33" s="70">
        <f>IF(COUNT(J30:J32),SUM(J30:J32),"")</f>
        <v>11665</v>
      </c>
    </row>
    <row r="34" spans="5:10" x14ac:dyDescent="0.25">
      <c r="E34" s="31" t="s">
        <v>72</v>
      </c>
      <c r="F34" s="450">
        <v>3927</v>
      </c>
      <c r="G34" s="450">
        <v>468</v>
      </c>
      <c r="H34" s="450">
        <v>-180</v>
      </c>
      <c r="I34" s="457">
        <v>4215</v>
      </c>
      <c r="J34" s="277">
        <v>180</v>
      </c>
    </row>
    <row r="35" spans="5:10" ht="30" x14ac:dyDescent="0.25">
      <c r="E35" s="14" t="s">
        <v>85</v>
      </c>
      <c r="F35" s="70">
        <f>IF(COUNT(F33:F34),SUM(F33:F34),"")</f>
        <v>410578</v>
      </c>
      <c r="G35" s="70">
        <f>IF(COUNT(G33:G34),SUM(G33:G34),"")</f>
        <v>127969</v>
      </c>
      <c r="H35" s="70">
        <f>IF(COUNT(H33:H34),SUM(H33:H34),"")</f>
        <v>-62833</v>
      </c>
      <c r="I35" s="70">
        <f>IF(COUNT(I33:I34),SUM(I33:I34),"")</f>
        <v>475714</v>
      </c>
      <c r="J35" s="70">
        <f>IF(COUNT(J33:J34),SUM(J33:J34),"")</f>
        <v>11845</v>
      </c>
    </row>
    <row r="36" spans="5:10" x14ac:dyDescent="0.25">
      <c r="E36" s="549" t="s">
        <v>1303</v>
      </c>
      <c r="F36" s="448">
        <v>14294</v>
      </c>
      <c r="G36" s="448">
        <v>3536</v>
      </c>
      <c r="H36" s="448">
        <v>0</v>
      </c>
      <c r="I36" s="455">
        <v>17830</v>
      </c>
      <c r="J36" s="64">
        <v>0</v>
      </c>
    </row>
    <row r="37" spans="5:10" x14ac:dyDescent="0.25">
      <c r="E37" s="550" t="s">
        <v>1304</v>
      </c>
      <c r="F37" s="449">
        <v>15255</v>
      </c>
      <c r="G37" s="449">
        <v>1849</v>
      </c>
      <c r="H37" s="449">
        <v>0</v>
      </c>
      <c r="I37" s="456">
        <v>17104</v>
      </c>
      <c r="J37" s="68">
        <v>0</v>
      </c>
    </row>
    <row r="38" spans="5:10" ht="30" x14ac:dyDescent="0.25">
      <c r="E38" s="14" t="s">
        <v>86</v>
      </c>
      <c r="F38" s="70">
        <f>IF(COUNT(F35:F37),SUM(F35:F37),"")</f>
        <v>440127</v>
      </c>
      <c r="G38" s="70">
        <f>IF(COUNT(G35:G37),SUM(G35:G37),"")</f>
        <v>133354</v>
      </c>
      <c r="H38" s="70">
        <f>IF(COUNT(H35:H37),SUM(H35:H37),"")</f>
        <v>-62833</v>
      </c>
      <c r="I38" s="70">
        <f>IF(COUNT(I35:I37),SUM(I35:I37),"")</f>
        <v>510648</v>
      </c>
      <c r="J38" s="70">
        <f>IF(COUNT(J35:J37),SUM(J35:J37),"")</f>
        <v>11845</v>
      </c>
    </row>
    <row r="39" spans="5:10" x14ac:dyDescent="0.25"/>
    <row r="40" spans="5:10" hidden="1" x14ac:dyDescent="0.25"/>
  </sheetData>
  <sheetProtection algorithmName="SHA-512" hashValue="XKCKFW4smg1S7SpA3gKwjEumncRvHY3lxRu+qiuTH/k+Gh6Xp4rkAhBY79ULMs8hxMfvZzUX1MbN8YHX0S+Qlg==" saltValue="4p910bg4BMvstvFW04F5DA==" spinCount="100000" sheet="1" objects="1" scenarios="1"/>
  <mergeCells count="3">
    <mergeCell ref="F9:I9"/>
    <mergeCell ref="F11:J11"/>
    <mergeCell ref="F27:J27"/>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
  <dimension ref="B2:K15"/>
  <sheetViews>
    <sheetView zoomScale="90" zoomScaleNormal="90" workbookViewId="0"/>
  </sheetViews>
  <sheetFormatPr defaultColWidth="9.140625" defaultRowHeight="15" x14ac:dyDescent="0.25"/>
  <cols>
    <col min="1" max="1" width="4.7109375" style="178" customWidth="1"/>
    <col min="2" max="2" width="11" style="178" customWidth="1"/>
    <col min="3" max="3" width="57.7109375" style="178" customWidth="1"/>
    <col min="4" max="4" width="5.85546875" style="178" customWidth="1"/>
    <col min="5" max="5" width="42" style="178" customWidth="1"/>
    <col min="6" max="6" width="13.85546875" style="178" bestFit="1" customWidth="1"/>
    <col min="7" max="7" width="9.85546875" style="178" bestFit="1" customWidth="1"/>
    <col min="8" max="8" width="13" style="178" bestFit="1" customWidth="1"/>
    <col min="9" max="9" width="11.140625" style="178" bestFit="1" customWidth="1"/>
    <col min="10" max="10" width="18.140625" style="178" bestFit="1" customWidth="1"/>
    <col min="11" max="11" width="12" style="178" customWidth="1"/>
    <col min="12" max="16384" width="9.140625" style="178"/>
  </cols>
  <sheetData>
    <row r="2" spans="2:11" s="167" customFormat="1" ht="21" x14ac:dyDescent="0.35">
      <c r="B2" s="187" t="s">
        <v>436</v>
      </c>
    </row>
    <row r="3" spans="2:11" x14ac:dyDescent="0.25">
      <c r="B3" s="186" t="s">
        <v>435</v>
      </c>
      <c r="C3" s="28"/>
    </row>
    <row r="4" spans="2:11" ht="15.75" thickBot="1" x14ac:dyDescent="0.3"/>
    <row r="5" spans="2:11" ht="15.75" thickBot="1" x14ac:dyDescent="0.3">
      <c r="B5" s="185" t="s">
        <v>434</v>
      </c>
      <c r="C5" s="184" t="s">
        <v>433</v>
      </c>
      <c r="D5" s="28"/>
    </row>
    <row r="6" spans="2:11" x14ac:dyDescent="0.25">
      <c r="E6" s="183" t="s">
        <v>432</v>
      </c>
    </row>
    <row r="7" spans="2:11" x14ac:dyDescent="0.25">
      <c r="E7" s="182" t="s">
        <v>431</v>
      </c>
    </row>
    <row r="8" spans="2:11" x14ac:dyDescent="0.25">
      <c r="E8" s="179" t="s">
        <v>430</v>
      </c>
      <c r="F8" s="179" t="s">
        <v>429</v>
      </c>
      <c r="G8" s="180" t="s">
        <v>428</v>
      </c>
      <c r="H8" s="180" t="s">
        <v>427</v>
      </c>
      <c r="I8" s="180" t="s">
        <v>426</v>
      </c>
      <c r="J8" s="180" t="s">
        <v>425</v>
      </c>
      <c r="K8" s="179" t="s">
        <v>424</v>
      </c>
    </row>
    <row r="9" spans="2:11" x14ac:dyDescent="0.25">
      <c r="E9" s="180" t="s">
        <v>423</v>
      </c>
      <c r="F9" s="180" t="s">
        <v>416</v>
      </c>
      <c r="G9" s="180" t="s">
        <v>415</v>
      </c>
      <c r="H9" s="181" t="str">
        <f>TEXT(ROW(Table1[[#This Row],[contextRef]]) - ROW(Table1[[#Headers],[contextRef]]), "00000")</f>
        <v>00001</v>
      </c>
      <c r="I9" s="180">
        <v>0</v>
      </c>
      <c r="J9" s="180" t="s">
        <v>414</v>
      </c>
      <c r="K9" s="179" t="str">
        <f>TEXT(ROW(Table1[[#This Row],[id]]) - ROW(Table1[[#Headers],[id]]), "00000")</f>
        <v>00001</v>
      </c>
    </row>
    <row r="10" spans="2:11" x14ac:dyDescent="0.25">
      <c r="E10" s="179" t="s">
        <v>422</v>
      </c>
      <c r="F10" s="180" t="s">
        <v>416</v>
      </c>
      <c r="G10" s="180" t="s">
        <v>415</v>
      </c>
      <c r="H10" s="181" t="str">
        <f>TEXT(ROW(Table1[[#This Row],[contextRef]]) - ROW(Table1[[#Headers],[contextRef]]), "00000")</f>
        <v>00002</v>
      </c>
      <c r="I10" s="180">
        <v>0</v>
      </c>
      <c r="J10" s="180" t="s">
        <v>414</v>
      </c>
      <c r="K10" s="179" t="str">
        <f>TEXT(ROW(Table1[[#This Row],[id]]) - ROW(Table1[[#Headers],[id]]), "00000")</f>
        <v>00002</v>
      </c>
    </row>
    <row r="11" spans="2:11" x14ac:dyDescent="0.25">
      <c r="E11" s="179" t="s">
        <v>421</v>
      </c>
      <c r="F11" s="180" t="s">
        <v>416</v>
      </c>
      <c r="G11" s="180" t="s">
        <v>415</v>
      </c>
      <c r="H11" s="181" t="str">
        <f>TEXT(ROW(Table1[[#This Row],[contextRef]]) - ROW(Table1[[#Headers],[contextRef]]), "00000")</f>
        <v>00003</v>
      </c>
      <c r="I11" s="180">
        <v>0</v>
      </c>
      <c r="J11" s="180" t="s">
        <v>414</v>
      </c>
      <c r="K11" s="179" t="str">
        <f>TEXT(ROW(Table1[[#This Row],[id]]) - ROW(Table1[[#Headers],[id]]), "00000")</f>
        <v>00003</v>
      </c>
    </row>
    <row r="12" spans="2:11" x14ac:dyDescent="0.25">
      <c r="E12" s="179" t="s">
        <v>420</v>
      </c>
      <c r="F12" s="180" t="s">
        <v>416</v>
      </c>
      <c r="G12" s="180" t="s">
        <v>415</v>
      </c>
      <c r="H12" s="181" t="str">
        <f>TEXT(ROW(Table1[[#This Row],[contextRef]]) - ROW(Table1[[#Headers],[contextRef]]), "00000")</f>
        <v>00004</v>
      </c>
      <c r="I12" s="180">
        <v>0</v>
      </c>
      <c r="J12" s="180" t="s">
        <v>414</v>
      </c>
      <c r="K12" s="179" t="str">
        <f>TEXT(ROW(Table1[[#This Row],[id]]) - ROW(Table1[[#Headers],[id]]), "00000")</f>
        <v>00004</v>
      </c>
    </row>
    <row r="13" spans="2:11" x14ac:dyDescent="0.25">
      <c r="E13" s="179" t="s">
        <v>419</v>
      </c>
      <c r="F13" s="180" t="s">
        <v>416</v>
      </c>
      <c r="G13" s="180" t="s">
        <v>415</v>
      </c>
      <c r="H13" s="181" t="str">
        <f>TEXT(ROW(Table1[[#This Row],[contextRef]]) - ROW(Table1[[#Headers],[contextRef]]), "00000")</f>
        <v>00005</v>
      </c>
      <c r="I13" s="180">
        <v>0</v>
      </c>
      <c r="J13" s="180" t="s">
        <v>414</v>
      </c>
      <c r="K13" s="179" t="str">
        <f>TEXT(ROW(Table1[[#This Row],[id]]) - ROW(Table1[[#Headers],[id]]), "00000")</f>
        <v>00005</v>
      </c>
    </row>
    <row r="14" spans="2:11" x14ac:dyDescent="0.25">
      <c r="E14" s="179" t="s">
        <v>418</v>
      </c>
      <c r="F14" s="180" t="s">
        <v>416</v>
      </c>
      <c r="G14" s="180" t="s">
        <v>415</v>
      </c>
      <c r="H14" s="181" t="str">
        <f>TEXT(ROW(Table1[[#This Row],[contextRef]]) - ROW(Table1[[#Headers],[contextRef]]), "00000")</f>
        <v>00006</v>
      </c>
      <c r="I14" s="180">
        <v>0</v>
      </c>
      <c r="J14" s="180" t="s">
        <v>414</v>
      </c>
      <c r="K14" s="179" t="str">
        <f>TEXT(ROW(Table1[[#This Row],[id]]) - ROW(Table1[[#Headers],[id]]), "00000")</f>
        <v>00006</v>
      </c>
    </row>
    <row r="15" spans="2:11" x14ac:dyDescent="0.25">
      <c r="E15" s="179" t="s">
        <v>417</v>
      </c>
      <c r="F15" s="180" t="s">
        <v>416</v>
      </c>
      <c r="G15" s="180" t="s">
        <v>415</v>
      </c>
      <c r="H15" s="181" t="str">
        <f>TEXT(ROW(Table1[[#This Row],[contextRef]]) - ROW(Table1[[#Headers],[contextRef]]), "00000")</f>
        <v>00007</v>
      </c>
      <c r="I15" s="180">
        <v>0</v>
      </c>
      <c r="J15" s="180" t="s">
        <v>414</v>
      </c>
      <c r="K15" s="179" t="str">
        <f>TEXT(ROW(Table1[[#This Row],[id]]) - ROW(Table1[[#Headers],[id]]), "00000")</f>
        <v>00007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ommandButton1">
          <controlPr defaultSize="0" autoLine="0" r:id="rId5">
            <anchor moveWithCells="1">
              <from>
                <xdr:col>2</xdr:col>
                <xdr:colOff>2038350</xdr:colOff>
                <xdr:row>6</xdr:row>
                <xdr:rowOff>0</xdr:rowOff>
              </from>
              <to>
                <xdr:col>2</xdr:col>
                <xdr:colOff>3467100</xdr:colOff>
                <xdr:row>8</xdr:row>
                <xdr:rowOff>57150</xdr:rowOff>
              </to>
            </anchor>
          </controlPr>
        </control>
      </mc:Choice>
      <mc:Fallback>
        <control shapeId="27649" r:id="rId4" name="CommandButton1"/>
      </mc:Fallback>
    </mc:AlternateContent>
    <mc:AlternateContent xmlns:mc="http://schemas.openxmlformats.org/markup-compatibility/2006">
      <mc:Choice Requires="x14">
        <control shapeId="27650" r:id="rId6" name="CommandButton2">
          <controlPr defaultSize="0" autoLine="0" r:id="rId7">
            <anchor moveWithCells="1">
              <from>
                <xdr:col>2</xdr:col>
                <xdr:colOff>209550</xdr:colOff>
                <xdr:row>6</xdr:row>
                <xdr:rowOff>0</xdr:rowOff>
              </from>
              <to>
                <xdr:col>2</xdr:col>
                <xdr:colOff>1638300</xdr:colOff>
                <xdr:row>8</xdr:row>
                <xdr:rowOff>57150</xdr:rowOff>
              </to>
            </anchor>
          </controlPr>
        </control>
      </mc:Choice>
      <mc:Fallback>
        <control shapeId="27650" r:id="rId6" name="CommandButton2"/>
      </mc:Fallback>
    </mc:AlternateContent>
  </controls>
  <tableParts count="1">
    <tablePart r:id="rId8"/>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C1:I36"/>
  <sheetViews>
    <sheetView showGridLines="0" topLeftCell="C6" workbookViewId="0">
      <selection activeCell="C6" sqref="C6"/>
    </sheetView>
  </sheetViews>
  <sheetFormatPr defaultColWidth="0" defaultRowHeight="15" zeroHeight="1" x14ac:dyDescent="0.25"/>
  <cols>
    <col min="1" max="2" width="9.140625" hidden="1" customWidth="1"/>
    <col min="3" max="3" width="2.7109375" customWidth="1"/>
    <col min="4" max="4" width="45.7109375" customWidth="1"/>
    <col min="5" max="7" width="16.7109375" customWidth="1"/>
    <col min="8" max="8" width="20.7109375" customWidth="1"/>
    <col min="9" max="9" width="2.7109375" customWidth="1"/>
    <col min="10" max="16384" width="9.140625" hidden="1"/>
  </cols>
  <sheetData>
    <row r="1" spans="4:8" hidden="1" x14ac:dyDescent="0.25"/>
    <row r="2" spans="4:8" hidden="1" x14ac:dyDescent="0.25"/>
    <row r="3" spans="4:8" hidden="1" x14ac:dyDescent="0.25"/>
    <row r="4" spans="4:8" ht="29.25" hidden="1" customHeight="1" x14ac:dyDescent="0.25">
      <c r="D4" s="27"/>
      <c r="E4" s="28"/>
    </row>
    <row r="5" spans="4:8" hidden="1" x14ac:dyDescent="0.25"/>
    <row r="6" spans="4:8" ht="36.950000000000003" customHeight="1" x14ac:dyDescent="0.25"/>
    <row r="7" spans="4:8" ht="20.100000000000001" customHeight="1" x14ac:dyDescent="0.25">
      <c r="D7" s="782" t="s">
        <v>1</v>
      </c>
      <c r="E7" s="785" t="s">
        <v>1847</v>
      </c>
      <c r="F7" s="785"/>
      <c r="G7" s="785"/>
      <c r="H7" s="176" t="str">
        <f>TEXT(DATE('General Info'!$G$11,VALUE('General Info'!$E$11),'General Info'!$F$11),"MMMM DD, YYYY")</f>
        <v>September 30, 2017</v>
      </c>
    </row>
    <row r="8" spans="4:8" ht="20.100000000000001" customHeight="1" x14ac:dyDescent="0.25">
      <c r="D8" s="783"/>
      <c r="E8" s="785" t="s">
        <v>88</v>
      </c>
      <c r="F8" s="785"/>
      <c r="G8" s="785"/>
      <c r="H8" s="785"/>
    </row>
    <row r="9" spans="4:8" ht="20.100000000000001" customHeight="1" x14ac:dyDescent="0.25">
      <c r="D9" s="784"/>
      <c r="E9" s="39">
        <v>2017</v>
      </c>
      <c r="F9" s="39">
        <v>2016</v>
      </c>
      <c r="G9" s="40">
        <v>2015</v>
      </c>
      <c r="H9" s="40">
        <v>2014</v>
      </c>
    </row>
    <row r="10" spans="4:8" ht="20.100000000000001" customHeight="1" x14ac:dyDescent="0.25">
      <c r="D10" s="2" t="s">
        <v>89</v>
      </c>
      <c r="E10" s="698"/>
      <c r="F10" s="698"/>
      <c r="G10" s="698"/>
      <c r="H10" s="698"/>
    </row>
    <row r="11" spans="4:8" x14ac:dyDescent="0.25">
      <c r="D11" s="29" t="s">
        <v>90</v>
      </c>
      <c r="E11" s="560">
        <v>8836802</v>
      </c>
      <c r="F11" s="561">
        <v>8241100</v>
      </c>
      <c r="G11" s="561">
        <v>7510320</v>
      </c>
      <c r="H11" s="560">
        <v>7274693</v>
      </c>
    </row>
    <row r="12" spans="4:8" x14ac:dyDescent="0.25">
      <c r="D12" s="32" t="s">
        <v>91</v>
      </c>
      <c r="E12" s="562">
        <v>33728786</v>
      </c>
      <c r="F12" s="563">
        <v>31647473</v>
      </c>
      <c r="G12" s="563">
        <v>31081167</v>
      </c>
      <c r="H12" s="562">
        <v>29720082</v>
      </c>
    </row>
    <row r="13" spans="4:8" x14ac:dyDescent="0.25">
      <c r="D13" s="32" t="s">
        <v>92</v>
      </c>
      <c r="E13" s="562">
        <v>0</v>
      </c>
      <c r="F13" s="563">
        <v>0</v>
      </c>
      <c r="G13" s="563">
        <v>0</v>
      </c>
      <c r="H13" s="562">
        <v>0</v>
      </c>
    </row>
    <row r="14" spans="4:8" ht="30" x14ac:dyDescent="0.25">
      <c r="D14" s="32" t="s">
        <v>93</v>
      </c>
      <c r="E14" s="562">
        <v>-19356752</v>
      </c>
      <c r="F14" s="563">
        <v>8120936</v>
      </c>
      <c r="G14" s="563">
        <v>-7081456</v>
      </c>
      <c r="H14" s="562">
        <v>0</v>
      </c>
    </row>
    <row r="15" spans="4:8" x14ac:dyDescent="0.25">
      <c r="D15" s="32" t="s">
        <v>94</v>
      </c>
      <c r="E15" s="562">
        <v>11604792</v>
      </c>
      <c r="F15" s="563">
        <v>0</v>
      </c>
      <c r="G15" s="563">
        <v>-4066413</v>
      </c>
      <c r="H15" s="562">
        <v>0</v>
      </c>
    </row>
    <row r="16" spans="4:8" ht="30" x14ac:dyDescent="0.25">
      <c r="D16" s="550" t="s">
        <v>1413</v>
      </c>
      <c r="E16" s="564">
        <v>22386649</v>
      </c>
      <c r="F16" s="565">
        <v>21116401</v>
      </c>
      <c r="G16" s="565">
        <v>20240345</v>
      </c>
      <c r="H16" s="564">
        <v>19116670</v>
      </c>
    </row>
    <row r="17" spans="4:9" ht="20.100000000000001" customHeight="1" x14ac:dyDescent="0.25">
      <c r="D17" s="14" t="s">
        <v>96</v>
      </c>
      <c r="E17" s="15">
        <f>IF(COUNT(E11:E16),SUM(E11:E15)-SUM(E16),"")</f>
        <v>12426979</v>
      </c>
      <c r="F17" s="15">
        <f t="shared" ref="F17:H17" si="0">IF(COUNT(F11:F16),SUM(F11:F15)-SUM(F16),"")</f>
        <v>26893108</v>
      </c>
      <c r="G17" s="15">
        <f t="shared" si="0"/>
        <v>7203273</v>
      </c>
      <c r="H17" s="15">
        <f t="shared" si="0"/>
        <v>17878105</v>
      </c>
    </row>
    <row r="18" spans="4:9" ht="15" customHeight="1" x14ac:dyDescent="0.25">
      <c r="D18" s="14" t="s">
        <v>97</v>
      </c>
      <c r="E18" s="616">
        <v>437564715</v>
      </c>
      <c r="F18" s="617">
        <v>410671607</v>
      </c>
      <c r="G18" s="617">
        <v>403468334</v>
      </c>
      <c r="H18" s="616">
        <v>385590229</v>
      </c>
    </row>
    <row r="19" spans="4:9" ht="20.100000000000001" customHeight="1" x14ac:dyDescent="0.25">
      <c r="D19" s="46" t="s">
        <v>98</v>
      </c>
      <c r="E19" s="47">
        <f>IF(COUNT(E17:E18),SUM(E17:E18),"")</f>
        <v>449991694</v>
      </c>
      <c r="F19" s="47">
        <f>IF(COUNT(F17:F18),SUM(F17:F18),"")</f>
        <v>437564715</v>
      </c>
      <c r="G19" s="47">
        <f>IF(COUNT(G17:G18),SUM(G17:G18),"")</f>
        <v>410671607</v>
      </c>
      <c r="H19" s="47">
        <f>IF(COUNT(H17:H18),SUM(H17:H18),"")</f>
        <v>403468334</v>
      </c>
    </row>
    <row r="20" spans="4:9" ht="20.100000000000001" customHeight="1" x14ac:dyDescent="0.25">
      <c r="D20" s="2" t="s">
        <v>99</v>
      </c>
      <c r="E20" s="786"/>
      <c r="F20" s="786"/>
      <c r="G20" s="786"/>
      <c r="H20" s="786"/>
    </row>
    <row r="21" spans="4:9" x14ac:dyDescent="0.25">
      <c r="D21" s="42" t="s">
        <v>100</v>
      </c>
      <c r="E21" s="566">
        <v>10310841</v>
      </c>
      <c r="F21" s="567">
        <v>11198451</v>
      </c>
      <c r="G21" s="567">
        <v>12778435</v>
      </c>
      <c r="H21" s="566">
        <v>13420066</v>
      </c>
    </row>
    <row r="22" spans="4:9" x14ac:dyDescent="0.25">
      <c r="D22" s="32" t="s">
        <v>101</v>
      </c>
      <c r="E22" s="562">
        <v>1524795</v>
      </c>
      <c r="F22" s="563">
        <v>1465224</v>
      </c>
      <c r="G22" s="563">
        <v>1420282</v>
      </c>
      <c r="H22" s="562">
        <v>1400080</v>
      </c>
    </row>
    <row r="23" spans="4:9" x14ac:dyDescent="0.25">
      <c r="D23" s="32" t="s">
        <v>102</v>
      </c>
      <c r="E23" s="562">
        <v>0</v>
      </c>
      <c r="F23" s="563">
        <v>0</v>
      </c>
      <c r="G23" s="563">
        <v>0</v>
      </c>
      <c r="H23" s="562">
        <v>0</v>
      </c>
    </row>
    <row r="24" spans="4:9" x14ac:dyDescent="0.25">
      <c r="D24" s="551" t="s">
        <v>1414</v>
      </c>
      <c r="E24" s="562">
        <v>44485454</v>
      </c>
      <c r="F24" s="563">
        <v>26142507</v>
      </c>
      <c r="G24" s="563">
        <v>-546983</v>
      </c>
      <c r="H24" s="562">
        <v>36377570</v>
      </c>
    </row>
    <row r="25" spans="4:9" ht="30" x14ac:dyDescent="0.25">
      <c r="D25" s="32" t="s">
        <v>95</v>
      </c>
      <c r="E25" s="562">
        <v>22386649</v>
      </c>
      <c r="F25" s="563">
        <v>21116401</v>
      </c>
      <c r="G25" s="563">
        <v>20240345</v>
      </c>
      <c r="H25" s="562">
        <v>19116670</v>
      </c>
    </row>
    <row r="26" spans="4:9" x14ac:dyDescent="0.25">
      <c r="D26" s="32" t="s">
        <v>103</v>
      </c>
      <c r="E26" s="562">
        <v>18013</v>
      </c>
      <c r="F26" s="563">
        <v>27882</v>
      </c>
      <c r="G26" s="563">
        <v>114383</v>
      </c>
      <c r="H26" s="562">
        <v>75818</v>
      </c>
    </row>
    <row r="27" spans="4:9" x14ac:dyDescent="0.25">
      <c r="D27" s="545" t="s">
        <v>1415</v>
      </c>
      <c r="E27" s="568">
        <v>0</v>
      </c>
      <c r="F27" s="569">
        <v>0</v>
      </c>
      <c r="G27" s="569">
        <v>0</v>
      </c>
      <c r="H27" s="568">
        <v>0</v>
      </c>
    </row>
    <row r="28" spans="4:9" ht="20.100000000000001" customHeight="1" x14ac:dyDescent="0.25">
      <c r="D28" s="14" t="s">
        <v>104</v>
      </c>
      <c r="E28" s="15">
        <f>IF(COUNT(E21:E27),SUM(E21:E24)+SUM(E27)-SUM(E25:E26),"")</f>
        <v>33916428</v>
      </c>
      <c r="F28" s="15">
        <f t="shared" ref="F28:H28" si="1">IF(COUNT(F21:F27),SUM(F21:F24)+SUM(F27)-SUM(F25:F26),"")</f>
        <v>17661899</v>
      </c>
      <c r="G28" s="15">
        <f t="shared" si="1"/>
        <v>-6702994</v>
      </c>
      <c r="H28" s="15">
        <f t="shared" si="1"/>
        <v>32005228</v>
      </c>
    </row>
    <row r="29" spans="4:9" ht="20.100000000000001" customHeight="1" x14ac:dyDescent="0.25">
      <c r="D29" s="14" t="s">
        <v>105</v>
      </c>
      <c r="E29" s="616">
        <v>387352418</v>
      </c>
      <c r="F29" s="617">
        <v>369690519</v>
      </c>
      <c r="G29" s="617">
        <v>376393513</v>
      </c>
      <c r="H29" s="616">
        <v>344388285</v>
      </c>
    </row>
    <row r="30" spans="4:9" ht="20.100000000000001" customHeight="1" x14ac:dyDescent="0.25">
      <c r="D30" s="46" t="s">
        <v>106</v>
      </c>
      <c r="E30" s="47">
        <f>IF(COUNT(E28:E29),SUM(E28:E29),"")</f>
        <v>421268846</v>
      </c>
      <c r="F30" s="47">
        <f>IF(COUNT(F28:F29),SUM(F28:F29),"")</f>
        <v>387352418</v>
      </c>
      <c r="G30" s="47">
        <f>IF(COUNT(G28:G29),SUM(G28:G29),"")</f>
        <v>369690519</v>
      </c>
      <c r="H30" s="47">
        <f>IF(COUNT(H28:H29),SUM(H28:H29),"")</f>
        <v>376393513</v>
      </c>
    </row>
    <row r="31" spans="4:9" ht="20.100000000000001" customHeight="1" x14ac:dyDescent="0.25">
      <c r="D31" s="46" t="s">
        <v>107</v>
      </c>
      <c r="E31" s="47">
        <f>+IF(COUNT(E19,E30),SUM(E19)-SUM(E30),"")</f>
        <v>28722848</v>
      </c>
      <c r="F31" s="47">
        <f>+IF(COUNT(F19,F30),SUM(F19)-SUM(F30),"")</f>
        <v>50212297</v>
      </c>
      <c r="G31" s="47">
        <f>+IF(COUNT(G19,G30),SUM(G19)-SUM(G30),"")</f>
        <v>40981088</v>
      </c>
      <c r="H31" s="47">
        <f>+IF(COUNT(H19,H30),SUM(H19)-SUM(H30),"")</f>
        <v>27074821</v>
      </c>
      <c r="I31" s="49"/>
    </row>
    <row r="32" spans="4:9" ht="30" x14ac:dyDescent="0.25">
      <c r="D32" s="46" t="s">
        <v>108</v>
      </c>
      <c r="E32" s="48">
        <f>IF(COUNT(E30,E19),SUM(E30)/SUM(E19),"")</f>
        <v>0.93617027073393044</v>
      </c>
      <c r="F32" s="48">
        <f>IF(COUNT(F30,F19),SUM(F30)/SUM(F19),"")</f>
        <v>0.88524600983879609</v>
      </c>
      <c r="G32" s="48">
        <f>IF(COUNT(G30,G19),SUM(G30)/SUM(G19),"")</f>
        <v>0.90020959009226076</v>
      </c>
      <c r="H32" s="48">
        <f>IF(COUNT(H30,H19),SUM(H30)/SUM(H19),"")</f>
        <v>0.93289480556855797</v>
      </c>
    </row>
    <row r="33" spans="4:8" x14ac:dyDescent="0.25">
      <c r="D33" s="14" t="s">
        <v>109</v>
      </c>
      <c r="E33" s="616">
        <v>77392386</v>
      </c>
      <c r="F33" s="617">
        <v>73230762</v>
      </c>
      <c r="G33" s="617">
        <v>69245260</v>
      </c>
      <c r="H33" s="616">
        <v>69862270</v>
      </c>
    </row>
    <row r="34" spans="4:8" ht="30" x14ac:dyDescent="0.25">
      <c r="D34" s="46" t="s">
        <v>110</v>
      </c>
      <c r="E34" s="48">
        <v>0.37109999999999999</v>
      </c>
      <c r="F34" s="48">
        <v>0.68569999999999998</v>
      </c>
      <c r="G34" s="48">
        <v>0.59179999999999999</v>
      </c>
      <c r="H34" s="48">
        <v>0.38750000000000001</v>
      </c>
    </row>
    <row r="35" spans="4:8" x14ac:dyDescent="0.25"/>
    <row r="36" spans="4:8" hidden="1" x14ac:dyDescent="0.25"/>
  </sheetData>
  <sheetProtection algorithmName="SHA-512" hashValue="6N0RkWjV+5K2newHkCGgcUz01M/jMzq8tbyx1pBVjdmEswqtvKKzT+dWimF+HsVviXkPKs2aJ1IMHk8rjl/7hA==" saltValue="6YGMlWEauzlXu1E7a/RTrQ==" spinCount="100000" sheet="1" objects="1" scenarios="1"/>
  <mergeCells count="5">
    <mergeCell ref="D7:D9"/>
    <mergeCell ref="E7:G7"/>
    <mergeCell ref="E8:H8"/>
    <mergeCell ref="E10:H10"/>
    <mergeCell ref="E20:H20"/>
  </mergeCells>
  <pageMargins left="0.7" right="0.7" top="0.75" bottom="0.75" header="0.3" footer="0.3"/>
  <pageSetup orientation="portrait" horizontalDpi="200" verticalDpi="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C1:J35"/>
  <sheetViews>
    <sheetView showGridLines="0" topLeftCell="C6" workbookViewId="0">
      <selection activeCell="C6" sqref="C6"/>
    </sheetView>
  </sheetViews>
  <sheetFormatPr defaultColWidth="0" defaultRowHeight="15" zeroHeight="1" x14ac:dyDescent="0.25"/>
  <cols>
    <col min="1" max="2" width="9.140625" hidden="1" customWidth="1"/>
    <col min="3" max="3" width="2.7109375" customWidth="1"/>
    <col min="4" max="4" width="45.7109375" customWidth="1"/>
    <col min="5" max="7" width="16.7109375" customWidth="1"/>
    <col min="8" max="8" width="20.7109375" customWidth="1"/>
    <col min="9" max="9" width="2.7109375" customWidth="1"/>
    <col min="10" max="10" width="0" hidden="1" customWidth="1"/>
    <col min="11" max="16384" width="9.140625" hidden="1"/>
  </cols>
  <sheetData>
    <row r="1" spans="4:8" hidden="1" x14ac:dyDescent="0.25"/>
    <row r="2" spans="4:8" hidden="1" x14ac:dyDescent="0.25"/>
    <row r="3" spans="4:8" hidden="1" x14ac:dyDescent="0.25"/>
    <row r="4" spans="4:8" hidden="1" x14ac:dyDescent="0.25"/>
    <row r="5" spans="4:8" hidden="1" x14ac:dyDescent="0.25">
      <c r="D5" s="27"/>
    </row>
    <row r="6" spans="4:8" ht="36.950000000000003" customHeight="1" x14ac:dyDescent="0.25">
      <c r="D6" s="787"/>
      <c r="E6" s="787"/>
      <c r="F6" s="787"/>
      <c r="G6" s="787"/>
      <c r="H6" s="787"/>
    </row>
    <row r="7" spans="4:8" ht="20.100000000000001" customHeight="1" x14ac:dyDescent="0.25">
      <c r="D7" s="782" t="s">
        <v>1</v>
      </c>
      <c r="E7" s="785" t="s">
        <v>111</v>
      </c>
      <c r="F7" s="785"/>
      <c r="G7" s="785"/>
      <c r="H7" s="176" t="str">
        <f>TEXT(DATE('General Info'!$G$11,VALUE('General Info'!$E$11),'General Info'!$F$11),"MMMM DD, YYYY")</f>
        <v>September 30, 2017</v>
      </c>
    </row>
    <row r="8" spans="4:8" ht="20.100000000000001" customHeight="1" x14ac:dyDescent="0.25">
      <c r="D8" s="783"/>
      <c r="E8" s="785" t="s">
        <v>112</v>
      </c>
      <c r="F8" s="785"/>
      <c r="G8" s="785"/>
      <c r="H8" s="785"/>
    </row>
    <row r="9" spans="4:8" ht="20.100000000000001" customHeight="1" x14ac:dyDescent="0.25">
      <c r="D9" s="784"/>
      <c r="E9" s="39">
        <v>2017</v>
      </c>
      <c r="F9" s="39">
        <v>2016</v>
      </c>
      <c r="G9" s="40">
        <v>2015</v>
      </c>
      <c r="H9" s="40">
        <v>2014</v>
      </c>
    </row>
    <row r="10" spans="4:8" ht="20.100000000000001" customHeight="1" x14ac:dyDescent="0.25">
      <c r="D10" s="2" t="s">
        <v>89</v>
      </c>
      <c r="E10" s="698"/>
      <c r="F10" s="698"/>
      <c r="G10" s="698"/>
      <c r="H10" s="698"/>
    </row>
    <row r="11" spans="4:8" x14ac:dyDescent="0.25">
      <c r="D11" s="549" t="s">
        <v>1348</v>
      </c>
      <c r="E11" s="560">
        <v>3799931</v>
      </c>
      <c r="F11" s="561">
        <v>3249371</v>
      </c>
      <c r="G11" s="561">
        <v>3068057</v>
      </c>
      <c r="H11" s="560">
        <v>3189346</v>
      </c>
    </row>
    <row r="12" spans="4:8" x14ac:dyDescent="0.25">
      <c r="D12" s="551" t="s">
        <v>1349</v>
      </c>
      <c r="E12" s="562">
        <v>17409095</v>
      </c>
      <c r="F12" s="563">
        <v>16977052</v>
      </c>
      <c r="G12" s="563">
        <v>17200042</v>
      </c>
      <c r="H12" s="562">
        <v>16992345</v>
      </c>
    </row>
    <row r="13" spans="4:8" x14ac:dyDescent="0.25">
      <c r="D13" s="551" t="s">
        <v>1350</v>
      </c>
      <c r="E13" s="562">
        <v>0</v>
      </c>
      <c r="F13" s="563">
        <v>0</v>
      </c>
      <c r="G13" s="563">
        <v>0</v>
      </c>
      <c r="H13" s="562">
        <v>0</v>
      </c>
    </row>
    <row r="14" spans="4:8" ht="30" x14ac:dyDescent="0.25">
      <c r="D14" s="551" t="s">
        <v>1351</v>
      </c>
      <c r="E14" s="562">
        <v>-636656</v>
      </c>
      <c r="F14" s="563">
        <v>2343382</v>
      </c>
      <c r="G14" s="563">
        <v>-707973</v>
      </c>
      <c r="H14" s="562">
        <v>0</v>
      </c>
    </row>
    <row r="15" spans="4:8" x14ac:dyDescent="0.25">
      <c r="D15" s="551" t="s">
        <v>1352</v>
      </c>
      <c r="E15" s="562">
        <v>6108843</v>
      </c>
      <c r="F15" s="563">
        <v>0</v>
      </c>
      <c r="G15" s="563">
        <v>-4752530</v>
      </c>
      <c r="H15" s="562">
        <v>0</v>
      </c>
    </row>
    <row r="16" spans="4:8" ht="30" x14ac:dyDescent="0.25">
      <c r="D16" s="550" t="s">
        <v>1353</v>
      </c>
      <c r="E16" s="562">
        <v>17822766</v>
      </c>
      <c r="F16" s="563">
        <v>17616852</v>
      </c>
      <c r="G16" s="563">
        <v>17597222</v>
      </c>
      <c r="H16" s="562">
        <v>17336204</v>
      </c>
    </row>
    <row r="17" spans="4:8" ht="20.100000000000001" customHeight="1" x14ac:dyDescent="0.25">
      <c r="D17" s="552" t="s">
        <v>1354</v>
      </c>
      <c r="E17" s="15">
        <f>IF(COUNT(E11:E16),SUM(E11:E15)-SUM(E16),"")</f>
        <v>8858447</v>
      </c>
      <c r="F17" s="15">
        <f t="shared" ref="F17:H17" si="0">IF(COUNT(F11:F16),SUM(F11:F15)-SUM(F16),"")</f>
        <v>4952953</v>
      </c>
      <c r="G17" s="15">
        <f t="shared" si="0"/>
        <v>-2789626</v>
      </c>
      <c r="H17" s="15">
        <f t="shared" si="0"/>
        <v>2845487</v>
      </c>
    </row>
    <row r="18" spans="4:8" x14ac:dyDescent="0.25">
      <c r="D18" s="41" t="s">
        <v>1355</v>
      </c>
      <c r="E18" s="618">
        <v>222725139</v>
      </c>
      <c r="F18" s="619">
        <v>217772186</v>
      </c>
      <c r="G18" s="619">
        <v>220561812</v>
      </c>
      <c r="H18" s="618">
        <v>217716325</v>
      </c>
    </row>
    <row r="19" spans="4:8" ht="20.100000000000001" customHeight="1" x14ac:dyDescent="0.25">
      <c r="D19" s="552" t="s">
        <v>1356</v>
      </c>
      <c r="E19" s="15">
        <f>IF(COUNT(E17:E18),SUM(E17:E18),"")</f>
        <v>231583586</v>
      </c>
      <c r="F19" s="15">
        <f>IF(COUNT(F17:F18),SUM(F17:F18),"")</f>
        <v>222725139</v>
      </c>
      <c r="G19" s="15">
        <f>IF(COUNT(G17:G18),SUM(G17:G18),"")</f>
        <v>217772186</v>
      </c>
      <c r="H19" s="15">
        <f>IF(COUNT(H17:H18),SUM(H17:H18),"")</f>
        <v>220561812</v>
      </c>
    </row>
    <row r="20" spans="4:8" ht="20.100000000000001" customHeight="1" x14ac:dyDescent="0.25">
      <c r="D20" s="2" t="s">
        <v>99</v>
      </c>
      <c r="E20" s="698"/>
      <c r="F20" s="698"/>
      <c r="G20" s="698"/>
      <c r="H20" s="698"/>
    </row>
    <row r="21" spans="4:8" x14ac:dyDescent="0.25">
      <c r="D21" s="544" t="s">
        <v>1357</v>
      </c>
      <c r="E21" s="566">
        <v>1378771</v>
      </c>
      <c r="F21" s="567">
        <v>4477204</v>
      </c>
      <c r="G21" s="567">
        <v>7725079</v>
      </c>
      <c r="H21" s="566">
        <v>8841330</v>
      </c>
    </row>
    <row r="22" spans="4:8" x14ac:dyDescent="0.25">
      <c r="D22" s="551" t="s">
        <v>1358</v>
      </c>
      <c r="E22" s="562">
        <v>1175184</v>
      </c>
      <c r="F22" s="563">
        <v>1032503</v>
      </c>
      <c r="G22" s="563">
        <v>945494</v>
      </c>
      <c r="H22" s="562">
        <v>926326</v>
      </c>
    </row>
    <row r="23" spans="4:8" x14ac:dyDescent="0.25">
      <c r="D23" s="551" t="s">
        <v>1359</v>
      </c>
      <c r="E23" s="562">
        <v>1735698</v>
      </c>
      <c r="F23" s="563">
        <v>1805108</v>
      </c>
      <c r="G23" s="563">
        <v>2023712</v>
      </c>
      <c r="H23" s="562">
        <v>1910632</v>
      </c>
    </row>
    <row r="24" spans="4:8" x14ac:dyDescent="0.25">
      <c r="D24" s="551" t="s">
        <v>1360</v>
      </c>
      <c r="E24" s="562">
        <v>29199381</v>
      </c>
      <c r="F24" s="563">
        <v>25556376</v>
      </c>
      <c r="G24" s="563">
        <v>1264839</v>
      </c>
      <c r="H24" s="562">
        <v>24110863</v>
      </c>
    </row>
    <row r="25" spans="4:8" ht="30" x14ac:dyDescent="0.25">
      <c r="D25" s="551" t="s">
        <v>1361</v>
      </c>
      <c r="E25" s="562">
        <v>17822766</v>
      </c>
      <c r="F25" s="563">
        <v>17616852</v>
      </c>
      <c r="G25" s="563">
        <v>17597222</v>
      </c>
      <c r="H25" s="562">
        <v>17336204</v>
      </c>
    </row>
    <row r="26" spans="4:8" x14ac:dyDescent="0.25">
      <c r="D26" s="551" t="s">
        <v>1362</v>
      </c>
      <c r="E26" s="562">
        <v>46677</v>
      </c>
      <c r="F26" s="563">
        <v>30454</v>
      </c>
      <c r="G26" s="563">
        <v>125436</v>
      </c>
      <c r="H26" s="562">
        <v>100569</v>
      </c>
    </row>
    <row r="27" spans="4:8" x14ac:dyDescent="0.25">
      <c r="D27" s="545" t="s">
        <v>1363</v>
      </c>
      <c r="E27" s="562">
        <v>0</v>
      </c>
      <c r="F27" s="563">
        <v>0</v>
      </c>
      <c r="G27" s="563">
        <v>0</v>
      </c>
      <c r="H27" s="562">
        <v>0</v>
      </c>
    </row>
    <row r="28" spans="4:8" ht="20.100000000000001" customHeight="1" x14ac:dyDescent="0.25">
      <c r="D28" s="552" t="s">
        <v>1364</v>
      </c>
      <c r="E28" s="15">
        <f>IF(COUNT(E21:E27),SUM(E21:E24)+SUM(E27)-SUM(E25:E26),"")</f>
        <v>15619591</v>
      </c>
      <c r="F28" s="15">
        <f t="shared" ref="F28:H28" si="1">IF(COUNT(F21:F27),SUM(F21:F24)+SUM(F27)-SUM(F25:F26),"")</f>
        <v>15223885</v>
      </c>
      <c r="G28" s="15">
        <f t="shared" si="1"/>
        <v>-5763534</v>
      </c>
      <c r="H28" s="15">
        <f t="shared" si="1"/>
        <v>18352378</v>
      </c>
    </row>
    <row r="29" spans="4:8" x14ac:dyDescent="0.25">
      <c r="D29" s="552" t="s">
        <v>1365</v>
      </c>
      <c r="E29" s="616">
        <v>245210495</v>
      </c>
      <c r="F29" s="617">
        <v>229986610</v>
      </c>
      <c r="G29" s="617">
        <v>235750144</v>
      </c>
      <c r="H29" s="616">
        <v>217397766</v>
      </c>
    </row>
    <row r="30" spans="4:8" ht="20.100000000000001" customHeight="1" x14ac:dyDescent="0.25">
      <c r="D30" s="46" t="s">
        <v>1366</v>
      </c>
      <c r="E30" s="47">
        <f>+IF(COUNT(E28:E29),SUM(E28:E29),"")</f>
        <v>260830086</v>
      </c>
      <c r="F30" s="47">
        <f>+IF(COUNT(F28:F29),SUM(F28:F29),"")</f>
        <v>245210495</v>
      </c>
      <c r="G30" s="47">
        <f>+IF(COUNT(G28:G29),SUM(G28:G29),"")</f>
        <v>229986610</v>
      </c>
      <c r="H30" s="47">
        <f>+IF(COUNT(H28:H29),SUM(H28:H29),"")</f>
        <v>235750144</v>
      </c>
    </row>
    <row r="31" spans="4:8" ht="20.100000000000001" customHeight="1" x14ac:dyDescent="0.25">
      <c r="D31" s="46" t="s">
        <v>113</v>
      </c>
      <c r="E31" s="47">
        <f>+IF(COUNT(E19,E30),SUM(E19)-SUM(E30),"")</f>
        <v>-29246500</v>
      </c>
      <c r="F31" s="47">
        <f>+IF(COUNT(F19,F30),SUM(F19)-SUM(F30),"")</f>
        <v>-22485356</v>
      </c>
      <c r="G31" s="47">
        <f>+IF(COUNT(G19,G30),SUM(G19)-SUM(G30),"")</f>
        <v>-12214424</v>
      </c>
      <c r="H31" s="47">
        <f>+IF(COUNT(H19,H30),SUM(H19)-SUM(H30),"")</f>
        <v>-15188332</v>
      </c>
    </row>
    <row r="32" spans="4:8" ht="30" x14ac:dyDescent="0.25">
      <c r="D32" s="46" t="s">
        <v>114</v>
      </c>
      <c r="E32" s="623">
        <v>1.1264000000000001</v>
      </c>
      <c r="F32" s="623">
        <v>1.101</v>
      </c>
      <c r="G32" s="623">
        <v>1.0561</v>
      </c>
      <c r="H32" s="623">
        <v>1.0689</v>
      </c>
    </row>
    <row r="33" spans="4:8" x14ac:dyDescent="0.25">
      <c r="D33" s="552" t="s">
        <v>1367</v>
      </c>
      <c r="E33" s="616">
        <v>16264742</v>
      </c>
      <c r="F33" s="617">
        <v>14252652</v>
      </c>
      <c r="G33" s="617">
        <v>13601128</v>
      </c>
      <c r="H33" s="616">
        <v>13805792</v>
      </c>
    </row>
    <row r="34" spans="4:8" ht="30" x14ac:dyDescent="0.25">
      <c r="D34" s="46" t="s">
        <v>115</v>
      </c>
      <c r="E34" s="48">
        <v>0.01</v>
      </c>
      <c r="F34" s="48">
        <v>0.02</v>
      </c>
      <c r="G34" s="48">
        <v>0.03</v>
      </c>
      <c r="H34" s="48">
        <v>0.04</v>
      </c>
    </row>
    <row r="35" spans="4:8" x14ac:dyDescent="0.25">
      <c r="E35">
        <v>-1.7982</v>
      </c>
      <c r="F35">
        <v>-1.5775999999999999</v>
      </c>
      <c r="G35">
        <v>-0.89800000000000002</v>
      </c>
      <c r="H35">
        <v>-1.1001000000000001</v>
      </c>
    </row>
  </sheetData>
  <sheetProtection algorithmName="SHA-512" hashValue="gVrjMiYoLCNKDG7vzkpcISmonZGFP0pb0MflnUYxzqld6oXg73foIwNQ1SXEDoFh90Qi84gsUs6gikIYk0vi1A==" saltValue="+WwHz85nfTJ7KmxJ59ve0g==" spinCount="100000" sheet="1" objects="1" scenarios="1"/>
  <mergeCells count="6">
    <mergeCell ref="E20:H20"/>
    <mergeCell ref="D6:H6"/>
    <mergeCell ref="D7:D9"/>
    <mergeCell ref="E7:G7"/>
    <mergeCell ref="E8:H8"/>
    <mergeCell ref="E10:H10"/>
  </mergeCells>
  <pageMargins left="0.7" right="0.7" top="0.75" bottom="0.75" header="0.3" footer="0.3"/>
  <pageSetup orientation="portrait" horizontalDpi="200" verticalDpi="2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dimension ref="A1:J37"/>
  <sheetViews>
    <sheetView showGridLines="0" topLeftCell="C6" workbookViewId="0">
      <selection activeCell="C6" sqref="C6"/>
    </sheetView>
  </sheetViews>
  <sheetFormatPr defaultColWidth="0" defaultRowHeight="15" zeroHeight="1" x14ac:dyDescent="0.25"/>
  <cols>
    <col min="1" max="2" width="13.85546875" hidden="1" customWidth="1"/>
    <col min="3" max="3" width="2.7109375" customWidth="1"/>
    <col min="4" max="4" width="45.7109375" customWidth="1"/>
    <col min="5" max="7" width="16.7109375" customWidth="1"/>
    <col min="8" max="8" width="20.7109375" customWidth="1"/>
    <col min="9" max="9" width="2.7109375" customWidth="1"/>
    <col min="10" max="10" width="0" hidden="1" customWidth="1"/>
    <col min="11" max="16384" width="21.140625" hidden="1"/>
  </cols>
  <sheetData>
    <row r="1" spans="4:8" hidden="1" x14ac:dyDescent="0.25"/>
    <row r="2" spans="4:8" hidden="1" x14ac:dyDescent="0.25"/>
    <row r="3" spans="4:8" hidden="1" x14ac:dyDescent="0.25"/>
    <row r="4" spans="4:8" hidden="1" x14ac:dyDescent="0.25"/>
    <row r="5" spans="4:8" ht="27.75" hidden="1" customHeight="1" x14ac:dyDescent="0.25">
      <c r="D5" s="27"/>
      <c r="E5" s="28"/>
    </row>
    <row r="6" spans="4:8" ht="36.950000000000003" customHeight="1" x14ac:dyDescent="0.25">
      <c r="D6" s="38"/>
      <c r="E6" s="38"/>
      <c r="F6" s="38"/>
      <c r="G6" s="38"/>
      <c r="H6" s="38"/>
    </row>
    <row r="7" spans="4:8" ht="20.100000000000001" customHeight="1" x14ac:dyDescent="0.25">
      <c r="D7" s="782" t="s">
        <v>1</v>
      </c>
      <c r="E7" s="785" t="s">
        <v>87</v>
      </c>
      <c r="F7" s="785"/>
      <c r="G7" s="785"/>
      <c r="H7" s="176" t="str">
        <f>TEXT(DATE('General Info'!$G$11,VALUE('General Info'!$E$11),'General Info'!$F$11),"MMMM DD, YYYY")</f>
        <v>September 30, 2017</v>
      </c>
    </row>
    <row r="8" spans="4:8" ht="20.100000000000001" customHeight="1" x14ac:dyDescent="0.25">
      <c r="D8" s="783"/>
      <c r="E8" s="785" t="s">
        <v>88</v>
      </c>
      <c r="F8" s="785"/>
      <c r="G8" s="785"/>
      <c r="H8" s="785"/>
    </row>
    <row r="9" spans="4:8" ht="20.100000000000001" customHeight="1" x14ac:dyDescent="0.25">
      <c r="D9" s="784"/>
      <c r="E9" s="275">
        <v>2017</v>
      </c>
      <c r="F9" s="275">
        <v>2016</v>
      </c>
      <c r="G9" s="276">
        <v>2015</v>
      </c>
      <c r="H9" s="276">
        <v>2014</v>
      </c>
    </row>
    <row r="10" spans="4:8" ht="20.100000000000001" customHeight="1" x14ac:dyDescent="0.25">
      <c r="D10" s="2" t="s">
        <v>89</v>
      </c>
      <c r="E10" s="698"/>
      <c r="F10" s="698"/>
      <c r="G10" s="698"/>
      <c r="H10" s="698"/>
    </row>
    <row r="11" spans="4:8" x14ac:dyDescent="0.25">
      <c r="D11" s="555" t="s">
        <v>1390</v>
      </c>
      <c r="E11" s="560">
        <v>6807919</v>
      </c>
      <c r="F11" s="561">
        <v>5872895</v>
      </c>
      <c r="G11" s="561">
        <v>5860058</v>
      </c>
      <c r="H11" s="560">
        <v>5813388</v>
      </c>
    </row>
    <row r="12" spans="4:8" x14ac:dyDescent="0.25">
      <c r="D12" s="556" t="s">
        <v>1391</v>
      </c>
      <c r="E12" s="562">
        <v>32936579</v>
      </c>
      <c r="F12" s="563">
        <v>31018382</v>
      </c>
      <c r="G12" s="563">
        <v>29610299</v>
      </c>
      <c r="H12" s="562">
        <v>29652780</v>
      </c>
    </row>
    <row r="13" spans="4:8" x14ac:dyDescent="0.25">
      <c r="D13" s="556" t="s">
        <v>1392</v>
      </c>
      <c r="E13" s="562">
        <v>0</v>
      </c>
      <c r="F13" s="563">
        <v>0</v>
      </c>
      <c r="G13" s="563">
        <v>0</v>
      </c>
      <c r="H13" s="562">
        <v>0</v>
      </c>
    </row>
    <row r="14" spans="4:8" ht="30" x14ac:dyDescent="0.25">
      <c r="D14" s="556" t="s">
        <v>1393</v>
      </c>
      <c r="E14" s="562">
        <v>-4097533</v>
      </c>
      <c r="F14" s="563">
        <v>13610507</v>
      </c>
      <c r="G14" s="563">
        <v>-758206</v>
      </c>
      <c r="H14" s="562">
        <v>0</v>
      </c>
    </row>
    <row r="15" spans="4:8" x14ac:dyDescent="0.25">
      <c r="D15" s="556" t="s">
        <v>1394</v>
      </c>
      <c r="E15" s="562">
        <v>13447739</v>
      </c>
      <c r="F15" s="563">
        <v>0</v>
      </c>
      <c r="G15" s="563">
        <v>-3112655</v>
      </c>
      <c r="H15" s="562">
        <v>0</v>
      </c>
    </row>
    <row r="16" spans="4:8" ht="30" x14ac:dyDescent="0.25">
      <c r="D16" s="557" t="s">
        <v>1395</v>
      </c>
      <c r="E16" s="564">
        <v>27878713</v>
      </c>
      <c r="F16" s="565">
        <v>26871033</v>
      </c>
      <c r="G16" s="565">
        <v>24722357</v>
      </c>
      <c r="H16" s="564">
        <v>23495320</v>
      </c>
    </row>
    <row r="17" spans="4:9" ht="20.100000000000001" customHeight="1" x14ac:dyDescent="0.25">
      <c r="D17" s="552" t="s">
        <v>1396</v>
      </c>
      <c r="E17" s="15">
        <f>+IF(COUNT(E11:E16),SUM(E11:E15)-SUM(E16),"")</f>
        <v>21215991</v>
      </c>
      <c r="F17" s="15">
        <f t="shared" ref="F17:H17" si="0">+IF(COUNT(F11:F16),SUM(F11:F15)-SUM(F16),"")</f>
        <v>23630751</v>
      </c>
      <c r="G17" s="15">
        <f t="shared" si="0"/>
        <v>6877139</v>
      </c>
      <c r="H17" s="15">
        <f t="shared" si="0"/>
        <v>11970848</v>
      </c>
    </row>
    <row r="18" spans="4:9" x14ac:dyDescent="0.25">
      <c r="D18" s="41" t="s">
        <v>1397</v>
      </c>
      <c r="E18" s="620">
        <f>+F19</f>
        <v>418846742</v>
      </c>
      <c r="F18" s="621">
        <f>+G19</f>
        <v>395215991</v>
      </c>
      <c r="G18" s="621">
        <f>+H19</f>
        <v>388338852</v>
      </c>
      <c r="H18" s="620">
        <v>376368004</v>
      </c>
    </row>
    <row r="19" spans="4:9" ht="20.100000000000001" customHeight="1" x14ac:dyDescent="0.25">
      <c r="D19" s="552" t="s">
        <v>1398</v>
      </c>
      <c r="E19" s="15">
        <f>+IF(COUNT(E17:E18),SUM(E17:E18),"")</f>
        <v>440062733</v>
      </c>
      <c r="F19" s="15">
        <f>+IF(COUNT(F17:F18),SUM(F17:F18),"")</f>
        <v>418846742</v>
      </c>
      <c r="G19" s="15">
        <f>+IF(COUNT(G17:G18),SUM(G17:G18),"")</f>
        <v>395215991</v>
      </c>
      <c r="H19" s="15">
        <f>+IF(COUNT(H17:H18),SUM(H17:H18),"")</f>
        <v>388338852</v>
      </c>
    </row>
    <row r="20" spans="4:9" x14ac:dyDescent="0.25">
      <c r="D20" s="2" t="s">
        <v>99</v>
      </c>
      <c r="E20" s="698"/>
      <c r="F20" s="698"/>
      <c r="G20" s="698"/>
      <c r="H20" s="698"/>
    </row>
    <row r="21" spans="4:9" x14ac:dyDescent="0.25">
      <c r="D21" s="558" t="s">
        <v>1399</v>
      </c>
      <c r="E21" s="566">
        <v>7562663</v>
      </c>
      <c r="F21" s="567">
        <v>7770299</v>
      </c>
      <c r="G21" s="567">
        <v>10258299</v>
      </c>
      <c r="H21" s="566">
        <v>11121987</v>
      </c>
    </row>
    <row r="22" spans="4:9" x14ac:dyDescent="0.25">
      <c r="D22" s="556" t="s">
        <v>1400</v>
      </c>
      <c r="E22" s="562">
        <v>2413249</v>
      </c>
      <c r="F22" s="563">
        <v>2191312</v>
      </c>
      <c r="G22" s="563">
        <v>2138059</v>
      </c>
      <c r="H22" s="562">
        <v>2049238</v>
      </c>
    </row>
    <row r="23" spans="4:9" x14ac:dyDescent="0.25">
      <c r="D23" s="556" t="s">
        <v>1401</v>
      </c>
      <c r="E23" s="562">
        <v>1969105</v>
      </c>
      <c r="F23" s="563">
        <v>1897530</v>
      </c>
      <c r="G23" s="563">
        <v>1801339</v>
      </c>
      <c r="H23" s="562">
        <v>1753617</v>
      </c>
    </row>
    <row r="24" spans="4:9" x14ac:dyDescent="0.25">
      <c r="D24" s="556" t="s">
        <v>1402</v>
      </c>
      <c r="E24" s="562">
        <v>45069674</v>
      </c>
      <c r="F24" s="563">
        <v>29466872</v>
      </c>
      <c r="G24" s="563">
        <v>-1403535</v>
      </c>
      <c r="H24" s="562">
        <v>36157743</v>
      </c>
    </row>
    <row r="25" spans="4:9" ht="30" x14ac:dyDescent="0.25">
      <c r="D25" s="556" t="s">
        <v>1403</v>
      </c>
      <c r="E25" s="562">
        <v>27878713</v>
      </c>
      <c r="F25" s="563">
        <v>26871033</v>
      </c>
      <c r="G25" s="563">
        <v>24722357</v>
      </c>
      <c r="H25" s="562">
        <v>23495320</v>
      </c>
    </row>
    <row r="26" spans="4:9" x14ac:dyDescent="0.25">
      <c r="D26" s="556" t="s">
        <v>1404</v>
      </c>
      <c r="E26" s="562">
        <v>33715</v>
      </c>
      <c r="F26" s="563">
        <v>63443</v>
      </c>
      <c r="G26" s="563">
        <v>132046</v>
      </c>
      <c r="H26" s="562">
        <v>105416</v>
      </c>
    </row>
    <row r="27" spans="4:9" x14ac:dyDescent="0.25">
      <c r="D27" s="559" t="s">
        <v>1405</v>
      </c>
      <c r="E27" s="568">
        <v>0</v>
      </c>
      <c r="F27" s="569">
        <v>0</v>
      </c>
      <c r="G27" s="569">
        <v>0</v>
      </c>
      <c r="H27" s="568">
        <v>0</v>
      </c>
    </row>
    <row r="28" spans="4:9" ht="20.100000000000001" customHeight="1" x14ac:dyDescent="0.25">
      <c r="D28" s="552" t="s">
        <v>1406</v>
      </c>
      <c r="E28" s="15">
        <f>+IF(COUNT(E21:E27),SUM(E21:E24)-SUM(E25:E26)+SUM(E27),"")</f>
        <v>29102263</v>
      </c>
      <c r="F28" s="15">
        <f t="shared" ref="F28:H28" si="1">+IF(COUNT(F21:F27),SUM(F21:F24)-SUM(F25:F26)+SUM(F27),"")</f>
        <v>14391537</v>
      </c>
      <c r="G28" s="15">
        <f t="shared" si="1"/>
        <v>-12060241</v>
      </c>
      <c r="H28" s="15">
        <f t="shared" si="1"/>
        <v>27481849</v>
      </c>
    </row>
    <row r="29" spans="4:9" x14ac:dyDescent="0.25">
      <c r="D29" s="552" t="s">
        <v>1407</v>
      </c>
      <c r="E29" s="616">
        <v>378355807</v>
      </c>
      <c r="F29" s="617">
        <v>363964270</v>
      </c>
      <c r="G29" s="617">
        <v>376024511</v>
      </c>
      <c r="H29" s="616">
        <v>348542662</v>
      </c>
    </row>
    <row r="30" spans="4:9" ht="20.100000000000001" customHeight="1" x14ac:dyDescent="0.25">
      <c r="D30" s="46" t="s">
        <v>1408</v>
      </c>
      <c r="E30" s="47">
        <f>IF(COUNT(E28:E29),SUM(E28:E29),"")</f>
        <v>407458070</v>
      </c>
      <c r="F30" s="47">
        <f>IF(COUNT(F28:F29),SUM(F28:F29),"")</f>
        <v>378355807</v>
      </c>
      <c r="G30" s="47">
        <f>IF(COUNT(G28:G29),SUM(G28:G29),"")</f>
        <v>363964270</v>
      </c>
      <c r="H30" s="47">
        <f>IF(COUNT(H28:H29),SUM(H28:H29),"")</f>
        <v>376024511</v>
      </c>
    </row>
    <row r="31" spans="4:9" ht="20.100000000000001" customHeight="1" x14ac:dyDescent="0.25">
      <c r="D31" s="46" t="s">
        <v>1409</v>
      </c>
      <c r="E31" s="47">
        <f>+IF(COUNT(E19,E30),SUM(E19)-SUM(E30),"")</f>
        <v>32604663</v>
      </c>
      <c r="F31" s="47">
        <f>+IF(COUNT(F19,F30),SUM(F19)-SUM(F30),"")</f>
        <v>40490935</v>
      </c>
      <c r="G31" s="47">
        <f>+IF(COUNT(G19,G30),SUM(G19)-SUM(G30),"")</f>
        <v>31251721</v>
      </c>
      <c r="H31" s="47">
        <f>+IF(COUNT(H19,H30),SUM(H19)-SUM(H30),"")</f>
        <v>12314341</v>
      </c>
      <c r="I31" s="49"/>
    </row>
    <row r="32" spans="4:9" ht="30" x14ac:dyDescent="0.25">
      <c r="D32" s="46" t="s">
        <v>1410</v>
      </c>
      <c r="E32" s="48">
        <f>IF(COUNT(E19,E31),SUM(E30)/SUM(E19),"")</f>
        <v>0.92590905669805945</v>
      </c>
      <c r="F32" s="48">
        <f>IF(COUNT(F19,F31),SUM(F30)/SUM(F19),"")</f>
        <v>0.90332756366527978</v>
      </c>
      <c r="G32" s="48">
        <f>IF(COUNT(G19,G31),SUM(G30)/SUM(G19),"")</f>
        <v>0.9209249582211364</v>
      </c>
      <c r="H32" s="48">
        <f>IF(COUNT(H19,H31),SUM(H30)/SUM(H19),"")</f>
        <v>0.96828970128386738</v>
      </c>
    </row>
    <row r="33" spans="4:9" x14ac:dyDescent="0.25">
      <c r="D33" s="552" t="s">
        <v>1411</v>
      </c>
      <c r="E33" s="616">
        <v>35120540</v>
      </c>
      <c r="F33" s="617">
        <v>31223987</v>
      </c>
      <c r="G33" s="617">
        <v>31186302</v>
      </c>
      <c r="H33" s="616">
        <v>31889043</v>
      </c>
    </row>
    <row r="34" spans="4:9" ht="30" x14ac:dyDescent="0.25">
      <c r="D34" s="46" t="s">
        <v>1412</v>
      </c>
      <c r="E34" s="48">
        <f>IF(COUNT(E31,E33),SUM(E31)/SUM(E33),"")</f>
        <v>0.92836451261854169</v>
      </c>
      <c r="F34" s="48">
        <f>IF(COUNT(F31,F33),SUM(F31)/SUM(F33),"")</f>
        <v>1.2967893882353974</v>
      </c>
      <c r="G34" s="48">
        <f>IF(COUNT(G31,G33),SUM(G31)/SUM(G33),"")</f>
        <v>1.0020976837843742</v>
      </c>
      <c r="H34" s="48">
        <f>IF(COUNT(H31,H33),SUM(H31)/SUM(H33),"")</f>
        <v>0.38616213725824261</v>
      </c>
    </row>
    <row r="35" spans="4:9" x14ac:dyDescent="0.25"/>
    <row r="36" spans="4:9" hidden="1" x14ac:dyDescent="0.25"/>
    <row r="37" spans="4:9" hidden="1" x14ac:dyDescent="0.25">
      <c r="I37" s="201"/>
    </row>
  </sheetData>
  <sheetProtection algorithmName="SHA-512" hashValue="iCmDU8vsBXKZVZrW5Xj9dANA7l+DQR9Oxh4j0EuIrwKhb6hBr1ldT+0ZvGYJjbM7+CwLlm0EPLYTwWoTOT2ORg==" saltValue="DrIeXmlPp8JhM/R61QMDrQ==" spinCount="100000" sheet="1" objects="1" scenarios="1"/>
  <mergeCells count="5">
    <mergeCell ref="D7:D9"/>
    <mergeCell ref="E7:G7"/>
    <mergeCell ref="E8:H8"/>
    <mergeCell ref="E10:H10"/>
    <mergeCell ref="E20:H20"/>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C1:J36"/>
  <sheetViews>
    <sheetView showGridLines="0" topLeftCell="C7" workbookViewId="0">
      <selection activeCell="C7" sqref="C7"/>
    </sheetView>
  </sheetViews>
  <sheetFormatPr defaultColWidth="0" defaultRowHeight="15" zeroHeight="1" x14ac:dyDescent="0.25"/>
  <cols>
    <col min="1" max="2" width="9.140625" style="28" hidden="1" customWidth="1"/>
    <col min="3" max="3" width="2.7109375" style="28" customWidth="1"/>
    <col min="4" max="4" width="45.7109375" style="51" customWidth="1"/>
    <col min="5" max="7" width="16.7109375" style="52" customWidth="1"/>
    <col min="8" max="8" width="20.7109375" style="52" customWidth="1"/>
    <col min="9" max="9" width="2.7109375" style="28" customWidth="1"/>
    <col min="10" max="10" width="0" style="28" hidden="1" customWidth="1"/>
    <col min="11" max="16384" width="9.140625" style="28" hidden="1"/>
  </cols>
  <sheetData>
    <row r="1" spans="4:8" hidden="1" x14ac:dyDescent="0.25"/>
    <row r="2" spans="4:8" hidden="1" x14ac:dyDescent="0.25"/>
    <row r="3" spans="4:8" hidden="1" x14ac:dyDescent="0.25"/>
    <row r="4" spans="4:8" ht="33" hidden="1" customHeight="1" x14ac:dyDescent="0.25">
      <c r="D4" s="27"/>
    </row>
    <row r="5" spans="4:8" ht="15" hidden="1" customHeight="1" x14ac:dyDescent="0.25">
      <c r="D5" s="27"/>
    </row>
    <row r="6" spans="4:8" hidden="1" x14ac:dyDescent="0.25"/>
    <row r="7" spans="4:8" ht="36.950000000000003" customHeight="1" x14ac:dyDescent="0.25"/>
    <row r="8" spans="4:8" ht="20.100000000000001" customHeight="1" x14ac:dyDescent="0.25">
      <c r="D8" s="785" t="s">
        <v>116</v>
      </c>
      <c r="E8" s="785"/>
      <c r="F8" s="785"/>
      <c r="G8" s="785"/>
      <c r="H8" s="176" t="str">
        <f>TEXT(DATE('General Info'!$G$11,VALUE('General Info'!$E$11),'General Info'!$F$11),"MMMM DD, YYYY")</f>
        <v>September 30, 2017</v>
      </c>
    </row>
    <row r="9" spans="4:8" ht="20.100000000000001" customHeight="1" x14ac:dyDescent="0.25">
      <c r="D9" s="788"/>
      <c r="E9" s="789" t="s">
        <v>117</v>
      </c>
      <c r="F9" s="789"/>
      <c r="G9" s="789"/>
      <c r="H9" s="789"/>
    </row>
    <row r="10" spans="4:8" ht="20.100000000000001" customHeight="1" x14ac:dyDescent="0.25">
      <c r="D10" s="788"/>
      <c r="E10" s="721" t="s">
        <v>118</v>
      </c>
      <c r="F10" s="721"/>
      <c r="G10" s="721"/>
      <c r="H10" s="721"/>
    </row>
    <row r="11" spans="4:8" x14ac:dyDescent="0.25">
      <c r="D11" s="35" t="s">
        <v>119</v>
      </c>
      <c r="E11" s="462">
        <v>42014</v>
      </c>
      <c r="F11" s="462">
        <v>41649</v>
      </c>
      <c r="G11" s="462">
        <v>41284</v>
      </c>
      <c r="H11" s="462">
        <v>40918</v>
      </c>
    </row>
    <row r="12" spans="4:8" x14ac:dyDescent="0.25">
      <c r="D12" s="32" t="s">
        <v>120</v>
      </c>
      <c r="E12" s="463">
        <v>2017</v>
      </c>
      <c r="F12" s="464">
        <v>2016</v>
      </c>
      <c r="G12" s="464">
        <v>2015</v>
      </c>
      <c r="H12" s="463">
        <v>2014</v>
      </c>
    </row>
    <row r="13" spans="4:8" x14ac:dyDescent="0.25">
      <c r="D13" s="32" t="s">
        <v>121</v>
      </c>
      <c r="E13" s="465">
        <v>10310841</v>
      </c>
      <c r="F13" s="466">
        <v>11198451</v>
      </c>
      <c r="G13" s="466">
        <v>12778435</v>
      </c>
      <c r="H13" s="465">
        <v>13420066</v>
      </c>
    </row>
    <row r="14" spans="4:8" ht="30" x14ac:dyDescent="0.25">
      <c r="D14" s="32" t="s">
        <v>122</v>
      </c>
      <c r="E14" s="465">
        <v>10310841</v>
      </c>
      <c r="F14" s="466">
        <v>11198451</v>
      </c>
      <c r="G14" s="466">
        <v>12778435</v>
      </c>
      <c r="H14" s="465">
        <v>13420066</v>
      </c>
    </row>
    <row r="15" spans="4:8" ht="20.100000000000001" customHeight="1" x14ac:dyDescent="0.25">
      <c r="D15" s="174" t="s">
        <v>123</v>
      </c>
      <c r="E15" s="15">
        <f>IF(COUNT(E13:E14),SUM(E13)-SUM(E14),"")</f>
        <v>0</v>
      </c>
      <c r="F15" s="15">
        <f>IF(COUNT(F13:F14),SUM(F13)-SUM(F14),"")</f>
        <v>0</v>
      </c>
      <c r="G15" s="15">
        <f>IF(COUNT(G13:G14),SUM(G13)-SUM(G14),"")</f>
        <v>0</v>
      </c>
      <c r="H15" s="15">
        <f>IF(COUNT(H13:H14),SUM(H13)-SUM(H14),"")</f>
        <v>0</v>
      </c>
    </row>
    <row r="16" spans="4:8" x14ac:dyDescent="0.25">
      <c r="D16" s="570" t="s">
        <v>1448</v>
      </c>
      <c r="E16" s="571">
        <v>77392386</v>
      </c>
      <c r="F16" s="571">
        <v>73230762</v>
      </c>
      <c r="G16" s="571">
        <v>69245260</v>
      </c>
      <c r="H16" s="571">
        <v>69862270</v>
      </c>
    </row>
    <row r="17" spans="4:8" x14ac:dyDescent="0.25">
      <c r="D17" s="573" t="s">
        <v>124</v>
      </c>
      <c r="E17" s="572">
        <f>E14/E16</f>
        <v>0.13322810592762963</v>
      </c>
      <c r="F17" s="572">
        <f>F14/F16</f>
        <v>0.15292003925891143</v>
      </c>
      <c r="G17" s="572">
        <f>G14/G16</f>
        <v>0.18453876842978134</v>
      </c>
      <c r="H17" s="572">
        <f>H14/H16</f>
        <v>0.19209318563510747</v>
      </c>
    </row>
    <row r="18" spans="4:8" ht="20.100000000000001" customHeight="1" x14ac:dyDescent="0.25">
      <c r="D18" s="788"/>
      <c r="E18" s="789" t="s">
        <v>111</v>
      </c>
      <c r="F18" s="789"/>
      <c r="G18" s="789"/>
      <c r="H18" s="789"/>
    </row>
    <row r="19" spans="4:8" ht="20.100000000000001" customHeight="1" x14ac:dyDescent="0.25">
      <c r="D19" s="788"/>
      <c r="E19" s="721" t="s">
        <v>118</v>
      </c>
      <c r="F19" s="721"/>
      <c r="G19" s="721"/>
      <c r="H19" s="721"/>
    </row>
    <row r="20" spans="4:8" x14ac:dyDescent="0.25">
      <c r="D20" s="50" t="s">
        <v>1434</v>
      </c>
      <c r="E20" s="467">
        <v>42014</v>
      </c>
      <c r="F20" s="467">
        <v>41649</v>
      </c>
      <c r="G20" s="467">
        <v>41284</v>
      </c>
      <c r="H20" s="467">
        <v>40918</v>
      </c>
    </row>
    <row r="21" spans="4:8" x14ac:dyDescent="0.25">
      <c r="D21" s="551" t="s">
        <v>1435</v>
      </c>
      <c r="E21" s="463">
        <v>2017</v>
      </c>
      <c r="F21" s="464">
        <v>2016</v>
      </c>
      <c r="G21" s="464">
        <v>2015</v>
      </c>
      <c r="H21" s="463">
        <v>2014</v>
      </c>
    </row>
    <row r="22" spans="4:8" x14ac:dyDescent="0.25">
      <c r="D22" s="551" t="s">
        <v>1436</v>
      </c>
      <c r="E22" s="468">
        <v>1378771</v>
      </c>
      <c r="F22" s="469">
        <v>4477204</v>
      </c>
      <c r="G22" s="469">
        <v>7725079</v>
      </c>
      <c r="H22" s="468">
        <v>10052247</v>
      </c>
    </row>
    <row r="23" spans="4:8" ht="30" x14ac:dyDescent="0.25">
      <c r="D23" s="551" t="s">
        <v>1437</v>
      </c>
      <c r="E23" s="465">
        <v>1378771</v>
      </c>
      <c r="F23" s="466">
        <v>4477204</v>
      </c>
      <c r="G23" s="466">
        <v>7725079</v>
      </c>
      <c r="H23" s="465">
        <v>10052247</v>
      </c>
    </row>
    <row r="24" spans="4:8" ht="20.100000000000001" customHeight="1" x14ac:dyDescent="0.25">
      <c r="D24" s="552" t="s">
        <v>1438</v>
      </c>
      <c r="E24" s="15">
        <f>IF(COUNT(E22:E23),SUM(E22)-SUM(E23),"")</f>
        <v>0</v>
      </c>
      <c r="F24" s="15">
        <f>IF(COUNT(F22:F23),SUM(F22)-SUM(F23),"")</f>
        <v>0</v>
      </c>
      <c r="G24" s="15">
        <f>IF(COUNT(G22:G23),SUM(G22)-SUM(G23),"")</f>
        <v>0</v>
      </c>
      <c r="H24" s="15">
        <f>IF(COUNT(H22:H23),SUM(H22)-SUM(H23),"")</f>
        <v>0</v>
      </c>
    </row>
    <row r="25" spans="4:8" x14ac:dyDescent="0.25">
      <c r="D25" s="570" t="s">
        <v>1440</v>
      </c>
      <c r="E25" s="571">
        <v>16264742</v>
      </c>
      <c r="F25" s="571">
        <v>14252652</v>
      </c>
      <c r="G25" s="571">
        <v>13601128</v>
      </c>
      <c r="H25" s="571">
        <v>13805792</v>
      </c>
    </row>
    <row r="26" spans="4:8" x14ac:dyDescent="0.25">
      <c r="D26" s="574" t="s">
        <v>1439</v>
      </c>
      <c r="E26" s="572">
        <f>E23/E25</f>
        <v>8.4770542317855399E-2</v>
      </c>
      <c r="F26" s="572">
        <f>F23/F25</f>
        <v>0.3141312928990338</v>
      </c>
      <c r="G26" s="572">
        <f>G23/G25</f>
        <v>0.56797340632335791</v>
      </c>
      <c r="H26" s="572">
        <f>H23/H25</f>
        <v>0.72811809710011566</v>
      </c>
    </row>
    <row r="27" spans="4:8" ht="20.100000000000001" customHeight="1" x14ac:dyDescent="0.25">
      <c r="D27" s="788"/>
      <c r="E27" s="789" t="s">
        <v>385</v>
      </c>
      <c r="F27" s="789"/>
      <c r="G27" s="789"/>
      <c r="H27" s="789"/>
    </row>
    <row r="28" spans="4:8" ht="20.100000000000001" customHeight="1" x14ac:dyDescent="0.25">
      <c r="D28" s="788"/>
      <c r="E28" s="721" t="s">
        <v>118</v>
      </c>
      <c r="F28" s="721"/>
      <c r="G28" s="721"/>
      <c r="H28" s="721"/>
    </row>
    <row r="29" spans="4:8" x14ac:dyDescent="0.25">
      <c r="D29" s="50" t="s">
        <v>1441</v>
      </c>
      <c r="E29" s="467">
        <v>42014</v>
      </c>
      <c r="F29" s="467">
        <v>41649</v>
      </c>
      <c r="G29" s="467">
        <v>41284</v>
      </c>
      <c r="H29" s="467">
        <v>40918</v>
      </c>
    </row>
    <row r="30" spans="4:8" x14ac:dyDescent="0.25">
      <c r="D30" s="551" t="s">
        <v>1442</v>
      </c>
      <c r="E30" s="463">
        <v>2017</v>
      </c>
      <c r="F30" s="464">
        <v>2016</v>
      </c>
      <c r="G30" s="464">
        <v>2015</v>
      </c>
      <c r="H30" s="463">
        <v>2014</v>
      </c>
    </row>
    <row r="31" spans="4:8" x14ac:dyDescent="0.25">
      <c r="D31" s="551" t="s">
        <v>1443</v>
      </c>
      <c r="E31" s="468">
        <v>7562663</v>
      </c>
      <c r="F31" s="469">
        <v>7770299</v>
      </c>
      <c r="G31" s="469">
        <v>10258299</v>
      </c>
      <c r="H31" s="468">
        <v>12753945</v>
      </c>
    </row>
    <row r="32" spans="4:8" ht="30" x14ac:dyDescent="0.25">
      <c r="D32" s="551" t="s">
        <v>1444</v>
      </c>
      <c r="E32" s="465">
        <v>7562663</v>
      </c>
      <c r="F32" s="466">
        <v>7770299</v>
      </c>
      <c r="G32" s="466">
        <v>10258299</v>
      </c>
      <c r="H32" s="465">
        <v>12772821</v>
      </c>
    </row>
    <row r="33" spans="4:8" ht="20.100000000000001" customHeight="1" x14ac:dyDescent="0.25">
      <c r="D33" s="552" t="s">
        <v>1445</v>
      </c>
      <c r="E33" s="15">
        <f>IF(COUNT(E31:E32),SUM(E31)-SUM(E32),"")</f>
        <v>0</v>
      </c>
      <c r="F33" s="15">
        <f>IF(COUNT(F31:F32),SUM(F31)-SUM(F32),"")</f>
        <v>0</v>
      </c>
      <c r="G33" s="15">
        <f>IF(COUNT(G31:G32),SUM(G31)-SUM(G32),"")</f>
        <v>0</v>
      </c>
      <c r="H33" s="15">
        <f>IF(COUNT(H31:H32),SUM(H31)-SUM(H32),"")</f>
        <v>-18876</v>
      </c>
    </row>
    <row r="34" spans="4:8" x14ac:dyDescent="0.25">
      <c r="D34" s="570" t="s">
        <v>1446</v>
      </c>
      <c r="E34" s="571">
        <v>35120540</v>
      </c>
      <c r="F34" s="571">
        <v>31223987</v>
      </c>
      <c r="G34" s="571">
        <v>31186302</v>
      </c>
      <c r="H34" s="571">
        <v>31889043</v>
      </c>
    </row>
    <row r="35" spans="4:8" x14ac:dyDescent="0.25">
      <c r="D35" s="574" t="s">
        <v>1447</v>
      </c>
      <c r="E35" s="572">
        <f>E32/E34</f>
        <v>0.21533447378656478</v>
      </c>
      <c r="F35" s="572">
        <f>F32/F34</f>
        <v>0.2488567203156983</v>
      </c>
      <c r="G35" s="572">
        <f>G32/G34</f>
        <v>0.32893605019280581</v>
      </c>
      <c r="H35" s="572">
        <f>H32/H34</f>
        <v>0.40053948937884404</v>
      </c>
    </row>
    <row r="36" spans="4:8" x14ac:dyDescent="0.25"/>
  </sheetData>
  <sheetProtection algorithmName="SHA-512" hashValue="xVIJpz40kg2lVqlLsHivKdPK8MtyhUoGr+ySCh7zDpCyOC+7kZtBpMn2k4GL9ZUNz6+hz0xwrnftF4FhO2JiTg==" saltValue="ui5FAaRzR6JbjjSplCy5aA==" spinCount="100000" sheet="1" objects="1" scenarios="1"/>
  <mergeCells count="10">
    <mergeCell ref="D27:D28"/>
    <mergeCell ref="E27:H27"/>
    <mergeCell ref="E28:H28"/>
    <mergeCell ref="D8:G8"/>
    <mergeCell ref="D9:D10"/>
    <mergeCell ref="E9:H9"/>
    <mergeCell ref="E10:H10"/>
    <mergeCell ref="D18:D19"/>
    <mergeCell ref="E18:H18"/>
    <mergeCell ref="E19:H19"/>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P28"/>
  <sheetViews>
    <sheetView showGridLines="0" topLeftCell="D9" workbookViewId="0">
      <selection activeCell="D9" sqref="D9"/>
    </sheetView>
  </sheetViews>
  <sheetFormatPr defaultColWidth="0" defaultRowHeight="15" zeroHeight="1" x14ac:dyDescent="0.25"/>
  <cols>
    <col min="1" max="3" width="0" hidden="1" customWidth="1"/>
    <col min="4" max="4" width="2.7109375" customWidth="1"/>
    <col min="5" max="5" width="38.28515625" customWidth="1"/>
    <col min="6" max="14" width="16.7109375" customWidth="1"/>
    <col min="15" max="15" width="20.7109375" customWidth="1"/>
    <col min="16" max="16" width="2.7109375" customWidth="1"/>
    <col min="17" max="16384" width="9.140625"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t="35.25" hidden="1" customHeight="1" x14ac:dyDescent="0.25">
      <c r="E7" s="27"/>
    </row>
    <row r="8" spans="5:15" hidden="1" x14ac:dyDescent="0.25"/>
    <row r="9" spans="5:15" ht="36.950000000000003" customHeight="1" x14ac:dyDescent="0.25"/>
    <row r="10" spans="5:15" ht="20.100000000000001" customHeight="1" x14ac:dyDescent="0.25">
      <c r="E10" s="682" t="s">
        <v>1</v>
      </c>
      <c r="F10" s="676" t="s">
        <v>125</v>
      </c>
      <c r="G10" s="677"/>
      <c r="H10" s="677"/>
      <c r="I10" s="677"/>
      <c r="J10" s="677"/>
      <c r="K10" s="677"/>
      <c r="L10" s="677"/>
      <c r="M10" s="677"/>
      <c r="N10" s="678"/>
      <c r="O10" s="772" t="str">
        <f>TEXT(DATE('General Info'!$G$11,VALUE('General Info'!$E$11),'General Info'!$F$11),"MMMM DD, YYYY")</f>
        <v>September 30, 2017</v>
      </c>
    </row>
    <row r="11" spans="5:15" ht="20.100000000000001" customHeight="1" x14ac:dyDescent="0.25">
      <c r="E11" s="790"/>
      <c r="F11" s="791" t="s">
        <v>126</v>
      </c>
      <c r="G11" s="792"/>
      <c r="H11" s="792"/>
      <c r="I11" s="792"/>
      <c r="J11" s="792"/>
      <c r="K11" s="792"/>
      <c r="L11" s="792"/>
      <c r="M11" s="792"/>
      <c r="N11" s="793"/>
      <c r="O11" s="794"/>
    </row>
    <row r="12" spans="5:15" ht="20.100000000000001" customHeight="1" x14ac:dyDescent="0.25">
      <c r="E12" s="683"/>
      <c r="F12" s="575">
        <v>2017</v>
      </c>
      <c r="G12" s="53">
        <v>2016</v>
      </c>
      <c r="H12" s="54">
        <v>2015</v>
      </c>
      <c r="I12" s="54">
        <v>2014</v>
      </c>
      <c r="J12" s="54">
        <v>2013</v>
      </c>
      <c r="K12" s="53">
        <v>2012</v>
      </c>
      <c r="L12" s="53">
        <v>2011</v>
      </c>
      <c r="M12" s="53">
        <v>2010</v>
      </c>
      <c r="N12" s="53">
        <v>2009</v>
      </c>
      <c r="O12" s="53">
        <v>2008</v>
      </c>
    </row>
    <row r="13" spans="5:15" ht="20.100000000000001" customHeight="1" x14ac:dyDescent="0.25">
      <c r="E13" s="2" t="s">
        <v>127</v>
      </c>
      <c r="F13" s="698"/>
      <c r="G13" s="698"/>
      <c r="H13" s="698"/>
      <c r="I13" s="698"/>
      <c r="J13" s="698"/>
      <c r="K13" s="698"/>
      <c r="L13" s="698"/>
      <c r="M13" s="698"/>
      <c r="N13" s="698"/>
      <c r="O13" s="698"/>
    </row>
    <row r="14" spans="5:15" x14ac:dyDescent="0.25">
      <c r="E14" s="29" t="s">
        <v>128</v>
      </c>
      <c r="F14" s="458">
        <v>338458935</v>
      </c>
      <c r="G14" s="446">
        <v>345467808</v>
      </c>
      <c r="H14" s="446">
        <v>345425116</v>
      </c>
      <c r="I14" s="458">
        <v>329454431</v>
      </c>
      <c r="J14" s="458">
        <v>315093031</v>
      </c>
      <c r="K14" s="446">
        <v>338624957</v>
      </c>
      <c r="L14" s="446">
        <v>383738567</v>
      </c>
      <c r="M14" s="446">
        <v>317722669</v>
      </c>
      <c r="N14" s="446">
        <v>486163709</v>
      </c>
      <c r="O14" s="446">
        <v>462033885</v>
      </c>
    </row>
    <row r="15" spans="5:15" x14ac:dyDescent="0.25">
      <c r="E15" s="32" t="s">
        <v>129</v>
      </c>
      <c r="F15" s="459">
        <v>28830449</v>
      </c>
      <c r="G15" s="443">
        <v>21859118</v>
      </c>
      <c r="H15" s="459">
        <v>26714114</v>
      </c>
      <c r="I15" s="459">
        <v>28418788</v>
      </c>
      <c r="J15" s="459">
        <v>29415453</v>
      </c>
      <c r="K15" s="443">
        <v>30810901</v>
      </c>
      <c r="L15" s="443">
        <v>33416322</v>
      </c>
      <c r="M15" s="443">
        <v>76621163</v>
      </c>
      <c r="N15" s="443">
        <v>77543670</v>
      </c>
      <c r="O15" s="443">
        <v>78911966</v>
      </c>
    </row>
    <row r="16" spans="5:15" x14ac:dyDescent="0.25">
      <c r="E16" s="30" t="s">
        <v>130</v>
      </c>
      <c r="F16" s="460">
        <v>193210387</v>
      </c>
      <c r="G16" s="447">
        <v>191826966</v>
      </c>
      <c r="H16" s="447">
        <v>162890064</v>
      </c>
      <c r="I16" s="460">
        <v>132519821</v>
      </c>
      <c r="J16" s="460">
        <v>156549002</v>
      </c>
      <c r="K16" s="447">
        <v>147593223</v>
      </c>
      <c r="L16" s="447">
        <v>101165653</v>
      </c>
      <c r="M16" s="447">
        <v>140355385</v>
      </c>
      <c r="N16" s="447">
        <v>146956415</v>
      </c>
      <c r="O16" s="447">
        <v>146123014</v>
      </c>
    </row>
    <row r="17" spans="5:15" ht="30" x14ac:dyDescent="0.25">
      <c r="E17" s="14" t="s">
        <v>131</v>
      </c>
      <c r="F17" s="15">
        <f>IF(COUNT(F14:F16),SUM(F14:F16),"")</f>
        <v>560499771</v>
      </c>
      <c r="G17" s="15">
        <f t="shared" ref="G17:O17" si="0">IF(COUNT(G14:G16),SUM(G14:G16),"")</f>
        <v>559153892</v>
      </c>
      <c r="H17" s="15">
        <f t="shared" si="0"/>
        <v>535029294</v>
      </c>
      <c r="I17" s="15">
        <f t="shared" si="0"/>
        <v>490393040</v>
      </c>
      <c r="J17" s="15">
        <f t="shared" si="0"/>
        <v>501057486</v>
      </c>
      <c r="K17" s="15">
        <f t="shared" si="0"/>
        <v>517029081</v>
      </c>
      <c r="L17" s="15">
        <f t="shared" si="0"/>
        <v>518320542</v>
      </c>
      <c r="M17" s="15">
        <f t="shared" si="0"/>
        <v>534699217</v>
      </c>
      <c r="N17" s="15">
        <f t="shared" si="0"/>
        <v>710663794</v>
      </c>
      <c r="O17" s="15">
        <f t="shared" si="0"/>
        <v>687068865</v>
      </c>
    </row>
    <row r="18" spans="5:15" s="28" customFormat="1" ht="20.100000000000001" customHeight="1" x14ac:dyDescent="0.25">
      <c r="E18" s="2" t="s">
        <v>132</v>
      </c>
      <c r="F18" s="698"/>
      <c r="G18" s="698"/>
      <c r="H18" s="698"/>
      <c r="I18" s="698"/>
      <c r="J18" s="698"/>
      <c r="K18" s="698"/>
      <c r="L18" s="698"/>
      <c r="M18" s="698"/>
      <c r="N18" s="698"/>
      <c r="O18" s="698"/>
    </row>
    <row r="19" spans="5:15" s="28" customFormat="1" x14ac:dyDescent="0.25">
      <c r="E19" s="549" t="s">
        <v>1462</v>
      </c>
      <c r="F19" s="458">
        <v>504565046</v>
      </c>
      <c r="G19" s="446">
        <v>484346509</v>
      </c>
      <c r="H19" s="446">
        <v>492706870</v>
      </c>
      <c r="I19" s="458">
        <v>513876988</v>
      </c>
      <c r="J19" s="458">
        <v>525501002</v>
      </c>
      <c r="K19" s="446">
        <v>559430846</v>
      </c>
      <c r="L19" s="446">
        <v>586110679</v>
      </c>
      <c r="M19" s="446">
        <v>597824125</v>
      </c>
      <c r="N19" s="446">
        <v>418716027</v>
      </c>
      <c r="O19" s="446">
        <v>414580883</v>
      </c>
    </row>
    <row r="20" spans="5:15" s="28" customFormat="1" x14ac:dyDescent="0.25">
      <c r="E20" s="551" t="s">
        <v>1463</v>
      </c>
      <c r="F20" s="459">
        <v>14750889</v>
      </c>
      <c r="G20" s="459">
        <v>19662021</v>
      </c>
      <c r="H20" s="459">
        <v>32940948</v>
      </c>
      <c r="I20" s="459">
        <v>62724650</v>
      </c>
      <c r="J20" s="459">
        <v>78431454</v>
      </c>
      <c r="K20" s="443">
        <v>59285133</v>
      </c>
      <c r="L20" s="443">
        <v>74999653</v>
      </c>
      <c r="M20" s="443">
        <v>37812908</v>
      </c>
      <c r="N20" s="443">
        <v>5681189</v>
      </c>
      <c r="O20" s="443">
        <v>770058</v>
      </c>
    </row>
    <row r="21" spans="5:15" s="28" customFormat="1" x14ac:dyDescent="0.25">
      <c r="E21" s="550" t="s">
        <v>1464</v>
      </c>
      <c r="F21" s="460">
        <v>142683420</v>
      </c>
      <c r="G21" s="447">
        <v>141793637</v>
      </c>
      <c r="H21" s="447">
        <v>121790678</v>
      </c>
      <c r="I21" s="460">
        <v>96030867</v>
      </c>
      <c r="J21" s="460">
        <v>95187269</v>
      </c>
      <c r="K21" s="447">
        <v>108194112</v>
      </c>
      <c r="L21" s="447">
        <v>88937520</v>
      </c>
      <c r="M21" s="447">
        <v>133860070</v>
      </c>
      <c r="N21" s="447">
        <v>166804172</v>
      </c>
      <c r="O21" s="447">
        <v>167802418</v>
      </c>
    </row>
    <row r="22" spans="5:15" s="28" customFormat="1" ht="30" x14ac:dyDescent="0.25">
      <c r="E22" s="14" t="s">
        <v>136</v>
      </c>
      <c r="F22" s="15">
        <f>IF(COUNT(F19:F21),SUM(F19:F21),"")</f>
        <v>661999355</v>
      </c>
      <c r="G22" s="15">
        <f t="shared" ref="G22:O22" si="1">IF(COUNT(G19:G21),SUM(G19:G21),"")</f>
        <v>645802167</v>
      </c>
      <c r="H22" s="15">
        <f t="shared" si="1"/>
        <v>647438496</v>
      </c>
      <c r="I22" s="15">
        <f t="shared" si="1"/>
        <v>672632505</v>
      </c>
      <c r="J22" s="15">
        <f t="shared" si="1"/>
        <v>699119725</v>
      </c>
      <c r="K22" s="15">
        <f t="shared" si="1"/>
        <v>726910091</v>
      </c>
      <c r="L22" s="15">
        <f t="shared" si="1"/>
        <v>750047852</v>
      </c>
      <c r="M22" s="15">
        <f t="shared" si="1"/>
        <v>769497103</v>
      </c>
      <c r="N22" s="15">
        <f t="shared" si="1"/>
        <v>591201388</v>
      </c>
      <c r="O22" s="15">
        <f t="shared" si="1"/>
        <v>583153359</v>
      </c>
    </row>
    <row r="23" spans="5:15" ht="20.100000000000001" customHeight="1" x14ac:dyDescent="0.25">
      <c r="E23" s="2" t="s">
        <v>137</v>
      </c>
      <c r="F23" s="698"/>
      <c r="G23" s="698"/>
      <c r="H23" s="698"/>
      <c r="I23" s="698"/>
      <c r="J23" s="698"/>
      <c r="K23" s="698"/>
      <c r="L23" s="698"/>
      <c r="M23" s="698"/>
      <c r="N23" s="698"/>
      <c r="O23" s="698"/>
    </row>
    <row r="24" spans="5:15" x14ac:dyDescent="0.25">
      <c r="E24" s="29" t="s">
        <v>133</v>
      </c>
      <c r="F24" s="458">
        <v>843023981</v>
      </c>
      <c r="G24" s="458">
        <v>829814317</v>
      </c>
      <c r="H24" s="458">
        <v>838131986</v>
      </c>
      <c r="I24" s="458">
        <v>843331419</v>
      </c>
      <c r="J24" s="458">
        <v>840594033</v>
      </c>
      <c r="K24" s="446">
        <v>898055803</v>
      </c>
      <c r="L24" s="446">
        <v>969849246</v>
      </c>
      <c r="M24" s="446">
        <v>915546794</v>
      </c>
      <c r="N24" s="446">
        <v>904879736</v>
      </c>
      <c r="O24" s="446">
        <v>876614768</v>
      </c>
    </row>
    <row r="25" spans="5:15" x14ac:dyDescent="0.25">
      <c r="E25" s="32" t="s">
        <v>134</v>
      </c>
      <c r="F25" s="459">
        <v>43581338</v>
      </c>
      <c r="G25" s="459">
        <v>41521139</v>
      </c>
      <c r="H25" s="459">
        <v>59655062</v>
      </c>
      <c r="I25" s="459">
        <v>91143438</v>
      </c>
      <c r="J25" s="459">
        <v>107846907</v>
      </c>
      <c r="K25" s="443">
        <v>90096034</v>
      </c>
      <c r="L25" s="443">
        <v>108415975</v>
      </c>
      <c r="M25" s="443">
        <v>114434071</v>
      </c>
      <c r="N25" s="443">
        <v>83224859</v>
      </c>
      <c r="O25" s="443">
        <v>79682024</v>
      </c>
    </row>
    <row r="26" spans="5:15" x14ac:dyDescent="0.25">
      <c r="E26" s="30" t="s">
        <v>135</v>
      </c>
      <c r="F26" s="460">
        <v>335893807</v>
      </c>
      <c r="G26" s="460">
        <v>333620603</v>
      </c>
      <c r="H26" s="460">
        <v>284680742</v>
      </c>
      <c r="I26" s="460">
        <v>228550688</v>
      </c>
      <c r="J26" s="460">
        <v>251736271</v>
      </c>
      <c r="K26" s="447">
        <v>255787335</v>
      </c>
      <c r="L26" s="447">
        <v>190103173</v>
      </c>
      <c r="M26" s="447">
        <v>274215455</v>
      </c>
      <c r="N26" s="447">
        <v>313760587</v>
      </c>
      <c r="O26" s="447">
        <v>313925432</v>
      </c>
    </row>
    <row r="27" spans="5:15" ht="20.100000000000001" customHeight="1" x14ac:dyDescent="0.25">
      <c r="E27" s="14" t="s">
        <v>138</v>
      </c>
      <c r="F27" s="15">
        <f>IF(COUNT(F24:F26),SUM(F24:F26),"")</f>
        <v>1222499126</v>
      </c>
      <c r="G27" s="15">
        <f t="shared" ref="G27:O27" si="2">IF(COUNT(G24:G26),SUM(G24:G26),"")</f>
        <v>1204956059</v>
      </c>
      <c r="H27" s="15">
        <f t="shared" si="2"/>
        <v>1182467790</v>
      </c>
      <c r="I27" s="15">
        <f t="shared" si="2"/>
        <v>1163025545</v>
      </c>
      <c r="J27" s="15">
        <f t="shared" si="2"/>
        <v>1200177211</v>
      </c>
      <c r="K27" s="15">
        <f t="shared" si="2"/>
        <v>1243939172</v>
      </c>
      <c r="L27" s="15">
        <f t="shared" si="2"/>
        <v>1268368394</v>
      </c>
      <c r="M27" s="15">
        <f t="shared" si="2"/>
        <v>1304196320</v>
      </c>
      <c r="N27" s="15">
        <f t="shared" si="2"/>
        <v>1301865182</v>
      </c>
      <c r="O27" s="15">
        <f t="shared" si="2"/>
        <v>1270222224</v>
      </c>
    </row>
    <row r="28" spans="5:15" x14ac:dyDescent="0.25">
      <c r="E28" s="55"/>
      <c r="F28" s="56"/>
      <c r="G28" s="56"/>
      <c r="H28" s="56"/>
      <c r="I28" s="56"/>
      <c r="J28" s="56"/>
      <c r="K28" s="57"/>
      <c r="L28" s="57"/>
      <c r="M28" s="57"/>
      <c r="N28" s="57"/>
      <c r="O28" s="57"/>
    </row>
  </sheetData>
  <sheetProtection algorithmName="SHA-512" hashValue="u1Sst28TgvIHMbYuxgJXHJPojhRiH6iDFXYR8EMYOIO0DrajbhYxruhgnZIJ1IkYox5kHAinmNaEJOzUAOSigA==" saltValue="ptBhiCb1fnkYOvDE7rFJkw==" spinCount="100000" sheet="1" objects="1" scenarios="1"/>
  <mergeCells count="7">
    <mergeCell ref="F23:O23"/>
    <mergeCell ref="E10:E12"/>
    <mergeCell ref="F13:O13"/>
    <mergeCell ref="F18:O18"/>
    <mergeCell ref="F10:N10"/>
    <mergeCell ref="F11:N11"/>
    <mergeCell ref="O10:O11"/>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D1:P76"/>
  <sheetViews>
    <sheetView showGridLines="0" topLeftCell="D9" workbookViewId="0">
      <selection activeCell="D9" sqref="D9"/>
    </sheetView>
  </sheetViews>
  <sheetFormatPr defaultColWidth="0" defaultRowHeight="15" zeroHeight="1" x14ac:dyDescent="0.25"/>
  <cols>
    <col min="1" max="3" width="9.140625" style="58" hidden="1" customWidth="1"/>
    <col min="4" max="4" width="2.7109375" style="58" customWidth="1"/>
    <col min="5" max="5" width="48.7109375" style="76" bestFit="1" customWidth="1"/>
    <col min="6" max="14" width="16.7109375" style="58" customWidth="1"/>
    <col min="15" max="15" width="20.7109375" style="58" customWidth="1"/>
    <col min="16" max="16" width="2.7109375" style="58" customWidth="1"/>
    <col min="17" max="16384" width="9.140625" style="58"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idden="1" x14ac:dyDescent="0.25"/>
    <row r="8" spans="5:15" ht="27.75" hidden="1" customHeight="1" x14ac:dyDescent="0.25">
      <c r="E8" s="27"/>
    </row>
    <row r="9" spans="5:15" ht="36.950000000000003" customHeight="1" x14ac:dyDescent="0.25"/>
    <row r="10" spans="5:15" ht="20.100000000000001" customHeight="1" x14ac:dyDescent="0.25">
      <c r="E10" s="805" t="s">
        <v>1</v>
      </c>
      <c r="F10" s="805" t="s">
        <v>139</v>
      </c>
      <c r="G10" s="805"/>
      <c r="H10" s="805"/>
      <c r="I10" s="805"/>
      <c r="J10" s="805"/>
      <c r="K10" s="805"/>
      <c r="L10" s="805"/>
      <c r="M10" s="805"/>
      <c r="N10" s="805"/>
      <c r="O10" s="176" t="str">
        <f>TEXT(DATE('General Info'!$G$11,VALUE('General Info'!$E$11),'General Info'!$F$11),"MMMM DD, YYYY")</f>
        <v>September 30, 2017</v>
      </c>
    </row>
    <row r="11" spans="5:15" ht="20.100000000000001" customHeight="1" x14ac:dyDescent="0.25">
      <c r="E11" s="805"/>
      <c r="F11" s="805" t="s">
        <v>126</v>
      </c>
      <c r="G11" s="805"/>
      <c r="H11" s="805"/>
      <c r="I11" s="805"/>
      <c r="J11" s="805"/>
      <c r="K11" s="805"/>
      <c r="L11" s="805"/>
      <c r="M11" s="805"/>
      <c r="N11" s="805"/>
      <c r="O11" s="805"/>
    </row>
    <row r="12" spans="5:15" ht="20.100000000000001" customHeight="1" x14ac:dyDescent="0.25">
      <c r="E12" s="806"/>
      <c r="F12" s="59">
        <v>2017</v>
      </c>
      <c r="G12" s="59">
        <v>2016</v>
      </c>
      <c r="H12" s="60">
        <v>2015</v>
      </c>
      <c r="I12" s="60">
        <v>2014</v>
      </c>
      <c r="J12" s="60">
        <v>2013</v>
      </c>
      <c r="K12" s="59">
        <v>2012</v>
      </c>
      <c r="L12" s="59">
        <v>2011</v>
      </c>
      <c r="M12" s="59">
        <v>2010</v>
      </c>
      <c r="N12" s="59">
        <v>2009</v>
      </c>
      <c r="O12" s="59">
        <v>2008</v>
      </c>
    </row>
    <row r="13" spans="5:15" ht="20.100000000000001" customHeight="1" x14ac:dyDescent="0.25">
      <c r="E13" s="61" t="s">
        <v>140</v>
      </c>
      <c r="F13" s="740"/>
      <c r="G13" s="740"/>
      <c r="H13" s="740"/>
      <c r="I13" s="740"/>
      <c r="J13" s="740"/>
      <c r="K13" s="740"/>
      <c r="L13" s="740"/>
      <c r="M13" s="740"/>
      <c r="N13" s="740"/>
      <c r="O13" s="740"/>
    </row>
    <row r="14" spans="5:15" ht="20.100000000000001" customHeight="1" x14ac:dyDescent="0.25">
      <c r="E14" s="62" t="s">
        <v>141</v>
      </c>
      <c r="F14" s="740"/>
      <c r="G14" s="740"/>
      <c r="H14" s="740"/>
      <c r="I14" s="740"/>
      <c r="J14" s="740"/>
      <c r="K14" s="740"/>
      <c r="L14" s="740"/>
      <c r="M14" s="740"/>
      <c r="N14" s="740"/>
      <c r="O14" s="740"/>
    </row>
    <row r="15" spans="5:15" x14ac:dyDescent="0.25">
      <c r="E15" s="581" t="s">
        <v>1520</v>
      </c>
      <c r="F15" s="453">
        <v>41180855</v>
      </c>
      <c r="G15" s="453">
        <v>39401295</v>
      </c>
      <c r="H15" s="448">
        <v>39348806</v>
      </c>
      <c r="I15" s="448">
        <v>31433231</v>
      </c>
      <c r="J15" s="448">
        <v>27592059</v>
      </c>
      <c r="K15" s="448">
        <v>27484912</v>
      </c>
      <c r="L15" s="448">
        <v>39973559</v>
      </c>
      <c r="M15" s="448">
        <v>38178164</v>
      </c>
      <c r="N15" s="448">
        <v>39635505</v>
      </c>
      <c r="O15" s="448">
        <v>39875230</v>
      </c>
    </row>
    <row r="16" spans="5:15" x14ac:dyDescent="0.25">
      <c r="E16" s="582" t="s">
        <v>1522</v>
      </c>
      <c r="F16" s="452">
        <v>20530929</v>
      </c>
      <c r="G16" s="452">
        <v>25639209</v>
      </c>
      <c r="H16" s="451">
        <v>16163418</v>
      </c>
      <c r="I16" s="451">
        <v>20020091</v>
      </c>
      <c r="J16" s="451">
        <v>16253877</v>
      </c>
      <c r="K16" s="451">
        <v>17878776</v>
      </c>
      <c r="L16" s="451">
        <v>27654061</v>
      </c>
      <c r="M16" s="451">
        <v>23392593</v>
      </c>
      <c r="N16" s="451">
        <v>23212864</v>
      </c>
      <c r="O16" s="451">
        <v>25337893</v>
      </c>
    </row>
    <row r="17" spans="5:15" x14ac:dyDescent="0.25">
      <c r="E17" s="582" t="s">
        <v>1523</v>
      </c>
      <c r="F17" s="452">
        <v>114930124</v>
      </c>
      <c r="G17" s="452">
        <v>100589020</v>
      </c>
      <c r="H17" s="451">
        <v>89420272</v>
      </c>
      <c r="I17" s="451">
        <v>95704280</v>
      </c>
      <c r="J17" s="451">
        <v>94712113</v>
      </c>
      <c r="K17" s="451">
        <v>93275050</v>
      </c>
      <c r="L17" s="451">
        <v>96398855</v>
      </c>
      <c r="M17" s="451">
        <v>91135117</v>
      </c>
      <c r="N17" s="451">
        <v>90646089</v>
      </c>
      <c r="O17" s="451">
        <v>91691477</v>
      </c>
    </row>
    <row r="18" spans="5:15" x14ac:dyDescent="0.25">
      <c r="E18" s="582" t="s">
        <v>1524</v>
      </c>
      <c r="F18" s="452">
        <v>43254689</v>
      </c>
      <c r="G18" s="451">
        <v>41949594</v>
      </c>
      <c r="H18" s="451">
        <v>39758629</v>
      </c>
      <c r="I18" s="451">
        <v>49215924</v>
      </c>
      <c r="J18" s="451">
        <v>46543810</v>
      </c>
      <c r="K18" s="451">
        <v>47472803</v>
      </c>
      <c r="L18" s="451">
        <v>49592465</v>
      </c>
      <c r="M18" s="451">
        <v>47954869</v>
      </c>
      <c r="N18" s="451">
        <v>48384025</v>
      </c>
      <c r="O18" s="451">
        <v>47643841</v>
      </c>
    </row>
    <row r="19" spans="5:15" x14ac:dyDescent="0.25">
      <c r="E19" s="582" t="s">
        <v>474</v>
      </c>
      <c r="F19" s="452">
        <v>31828229</v>
      </c>
      <c r="G19" s="452">
        <v>21319804</v>
      </c>
      <c r="H19" s="451">
        <v>30981025</v>
      </c>
      <c r="I19" s="451">
        <v>28294856</v>
      </c>
      <c r="J19" s="451">
        <v>34157385</v>
      </c>
      <c r="K19" s="451">
        <v>33931921</v>
      </c>
      <c r="L19" s="451">
        <v>25077637</v>
      </c>
      <c r="M19" s="451">
        <v>16208520</v>
      </c>
      <c r="N19" s="451">
        <v>21501313</v>
      </c>
      <c r="O19" s="451">
        <v>21884510</v>
      </c>
    </row>
    <row r="20" spans="5:15" x14ac:dyDescent="0.25">
      <c r="E20" s="582" t="s">
        <v>1521</v>
      </c>
      <c r="F20" s="452">
        <v>54966996</v>
      </c>
      <c r="G20" s="452">
        <v>58126018</v>
      </c>
      <c r="H20" s="451">
        <v>51208250</v>
      </c>
      <c r="I20" s="451">
        <v>54790800</v>
      </c>
      <c r="J20" s="451">
        <v>47822871</v>
      </c>
      <c r="K20" s="451">
        <v>52601786</v>
      </c>
      <c r="L20" s="451">
        <v>46604748</v>
      </c>
      <c r="M20" s="451">
        <v>44972705</v>
      </c>
      <c r="N20" s="451">
        <v>61884711</v>
      </c>
      <c r="O20" s="451">
        <v>61549149</v>
      </c>
    </row>
    <row r="21" spans="5:15" x14ac:dyDescent="0.25">
      <c r="E21" s="583" t="s">
        <v>475</v>
      </c>
      <c r="F21" s="454">
        <v>2501068</v>
      </c>
      <c r="G21" s="454">
        <v>1568898</v>
      </c>
      <c r="H21" s="449">
        <v>1503527</v>
      </c>
      <c r="I21" s="449">
        <v>2054762</v>
      </c>
      <c r="J21" s="449">
        <v>2869844</v>
      </c>
      <c r="K21" s="449">
        <v>3607747</v>
      </c>
      <c r="L21" s="449">
        <v>5033700</v>
      </c>
      <c r="M21" s="449">
        <v>5623196</v>
      </c>
      <c r="N21" s="449">
        <v>6428023</v>
      </c>
      <c r="O21" s="449">
        <v>7460824</v>
      </c>
    </row>
    <row r="22" spans="5:15" ht="20.100000000000001" customHeight="1" x14ac:dyDescent="0.25">
      <c r="E22" s="69" t="s">
        <v>1525</v>
      </c>
      <c r="F22" s="70">
        <f>IF(COUNT(F15:F21),SUM(F15:F21),"")</f>
        <v>309192890</v>
      </c>
      <c r="G22" s="70">
        <f t="shared" ref="G22:O22" si="0">IF(COUNT(G15:G21),SUM(G15:G21),"")</f>
        <v>288593838</v>
      </c>
      <c r="H22" s="70">
        <f t="shared" si="0"/>
        <v>268383927</v>
      </c>
      <c r="I22" s="70">
        <f t="shared" si="0"/>
        <v>281513944</v>
      </c>
      <c r="J22" s="70">
        <f t="shared" si="0"/>
        <v>269951959</v>
      </c>
      <c r="K22" s="70">
        <f t="shared" si="0"/>
        <v>276252995</v>
      </c>
      <c r="L22" s="70">
        <f t="shared" si="0"/>
        <v>290335025</v>
      </c>
      <c r="M22" s="70">
        <f t="shared" si="0"/>
        <v>267465164</v>
      </c>
      <c r="N22" s="70">
        <f t="shared" si="0"/>
        <v>291692530</v>
      </c>
      <c r="O22" s="70">
        <f t="shared" si="0"/>
        <v>295442924</v>
      </c>
    </row>
    <row r="23" spans="5:15" ht="20.100000000000001" customHeight="1" x14ac:dyDescent="0.25">
      <c r="E23" s="62" t="s">
        <v>142</v>
      </c>
      <c r="F23" s="740"/>
      <c r="G23" s="740"/>
      <c r="H23" s="740"/>
      <c r="I23" s="740"/>
      <c r="J23" s="740"/>
      <c r="K23" s="740"/>
      <c r="L23" s="740"/>
      <c r="M23" s="740"/>
      <c r="N23" s="740"/>
      <c r="O23" s="740"/>
    </row>
    <row r="24" spans="5:15" x14ac:dyDescent="0.25">
      <c r="E24" s="582" t="s">
        <v>1535</v>
      </c>
      <c r="F24" s="453">
        <v>115296480</v>
      </c>
      <c r="G24" s="448">
        <v>114768677</v>
      </c>
      <c r="H24" s="448">
        <v>115141604</v>
      </c>
      <c r="I24" s="448">
        <v>106155998</v>
      </c>
      <c r="J24" s="448">
        <v>107759932</v>
      </c>
      <c r="K24" s="448">
        <v>104932909</v>
      </c>
      <c r="L24" s="448">
        <v>104704408</v>
      </c>
      <c r="M24" s="448">
        <v>98015537</v>
      </c>
      <c r="N24" s="448">
        <v>95655633</v>
      </c>
      <c r="O24" s="448">
        <v>99136630</v>
      </c>
    </row>
    <row r="25" spans="5:15" x14ac:dyDescent="0.25">
      <c r="E25" s="582" t="s">
        <v>1536</v>
      </c>
      <c r="F25" s="452">
        <v>15786948</v>
      </c>
      <c r="G25" s="452">
        <v>16258907</v>
      </c>
      <c r="H25" s="451">
        <v>15736861</v>
      </c>
      <c r="I25" s="451">
        <v>15541418</v>
      </c>
      <c r="J25" s="451">
        <v>14699179</v>
      </c>
      <c r="K25" s="451">
        <v>14890554</v>
      </c>
      <c r="L25" s="451">
        <v>13542653</v>
      </c>
      <c r="M25" s="451">
        <v>14062820</v>
      </c>
      <c r="N25" s="451">
        <v>13638448</v>
      </c>
      <c r="O25" s="451">
        <v>14169266</v>
      </c>
    </row>
    <row r="26" spans="5:15" x14ac:dyDescent="0.25">
      <c r="E26" s="582" t="s">
        <v>1537</v>
      </c>
      <c r="F26" s="452">
        <v>41660758</v>
      </c>
      <c r="G26" s="452">
        <v>40640667</v>
      </c>
      <c r="H26" s="451">
        <v>45406933</v>
      </c>
      <c r="I26" s="451">
        <v>39090760</v>
      </c>
      <c r="J26" s="451">
        <v>36899176</v>
      </c>
      <c r="K26" s="451">
        <v>37460953</v>
      </c>
      <c r="L26" s="451">
        <v>38102702</v>
      </c>
      <c r="M26" s="451">
        <v>37707634</v>
      </c>
      <c r="N26" s="451">
        <v>36910607</v>
      </c>
      <c r="O26" s="451">
        <v>38062985</v>
      </c>
    </row>
    <row r="27" spans="5:15" x14ac:dyDescent="0.25">
      <c r="E27" s="582" t="s">
        <v>1538</v>
      </c>
      <c r="F27" s="452">
        <v>6277185</v>
      </c>
      <c r="G27" s="452">
        <v>6293282</v>
      </c>
      <c r="H27" s="451">
        <v>6456480</v>
      </c>
      <c r="I27" s="451">
        <v>8225945</v>
      </c>
      <c r="J27" s="451">
        <v>7116475</v>
      </c>
      <c r="K27" s="451">
        <v>7088308</v>
      </c>
      <c r="L27" s="451">
        <v>6820058</v>
      </c>
      <c r="M27" s="451">
        <v>6358385</v>
      </c>
      <c r="N27" s="451">
        <v>0</v>
      </c>
      <c r="O27" s="451">
        <v>0</v>
      </c>
    </row>
    <row r="28" spans="5:15" x14ac:dyDescent="0.25">
      <c r="E28" s="582" t="s">
        <v>1539</v>
      </c>
      <c r="F28" s="452">
        <v>1546366</v>
      </c>
      <c r="G28" s="452">
        <v>1541559</v>
      </c>
      <c r="H28" s="451">
        <v>1760427</v>
      </c>
      <c r="I28" s="451">
        <v>1703550</v>
      </c>
      <c r="J28" s="451">
        <v>1419949</v>
      </c>
      <c r="K28" s="451">
        <v>1072295</v>
      </c>
      <c r="L28" s="451">
        <v>1417940</v>
      </c>
      <c r="M28" s="451">
        <v>1294662</v>
      </c>
      <c r="N28" s="451">
        <v>1388716</v>
      </c>
      <c r="O28" s="451">
        <v>1221822</v>
      </c>
    </row>
    <row r="29" spans="5:15" x14ac:dyDescent="0.25">
      <c r="E29" s="582" t="s">
        <v>1540</v>
      </c>
      <c r="F29" s="452">
        <v>1026277</v>
      </c>
      <c r="G29" s="452">
        <v>1043589</v>
      </c>
      <c r="H29" s="451">
        <v>874667</v>
      </c>
      <c r="I29" s="451">
        <v>844507</v>
      </c>
      <c r="J29" s="451">
        <v>923851</v>
      </c>
      <c r="K29" s="451">
        <v>1114952</v>
      </c>
      <c r="L29" s="451">
        <v>1532136</v>
      </c>
      <c r="M29" s="451">
        <v>1094820</v>
      </c>
      <c r="N29" s="451">
        <v>987025</v>
      </c>
      <c r="O29" s="451">
        <v>885491</v>
      </c>
    </row>
    <row r="30" spans="5:15" x14ac:dyDescent="0.25">
      <c r="E30" s="582" t="s">
        <v>1541</v>
      </c>
      <c r="F30" s="452">
        <v>3512662</v>
      </c>
      <c r="G30" s="452">
        <v>3364333</v>
      </c>
      <c r="H30" s="451">
        <v>4189409</v>
      </c>
      <c r="I30" s="451">
        <v>3572867</v>
      </c>
      <c r="J30" s="451">
        <v>3370490</v>
      </c>
      <c r="K30" s="451">
        <v>3539546</v>
      </c>
      <c r="L30" s="451">
        <v>3570871</v>
      </c>
      <c r="M30" s="451">
        <v>2525854</v>
      </c>
      <c r="N30" s="451">
        <v>2354034</v>
      </c>
      <c r="O30" s="451">
        <v>2263363</v>
      </c>
    </row>
    <row r="31" spans="5:15" x14ac:dyDescent="0.25">
      <c r="E31" s="582" t="s">
        <v>1542</v>
      </c>
      <c r="F31" s="452">
        <v>3777731</v>
      </c>
      <c r="G31" s="452">
        <v>3841861</v>
      </c>
      <c r="H31" s="451">
        <v>3591614</v>
      </c>
      <c r="I31" s="451">
        <v>3863244</v>
      </c>
      <c r="J31" s="451">
        <v>3967520</v>
      </c>
      <c r="K31" s="451">
        <v>4038963</v>
      </c>
      <c r="L31" s="451">
        <v>4145459</v>
      </c>
      <c r="M31" s="451">
        <v>3852204</v>
      </c>
      <c r="N31" s="451">
        <v>4250100</v>
      </c>
      <c r="O31" s="451">
        <v>4287233</v>
      </c>
    </row>
    <row r="32" spans="5:15" x14ac:dyDescent="0.25">
      <c r="E32" s="582" t="s">
        <v>1543</v>
      </c>
      <c r="F32" s="452">
        <v>1143617</v>
      </c>
      <c r="G32" s="452">
        <v>691204</v>
      </c>
      <c r="H32" s="451">
        <v>743377</v>
      </c>
      <c r="I32" s="451">
        <v>708109</v>
      </c>
      <c r="J32" s="451">
        <v>654469</v>
      </c>
      <c r="K32" s="451">
        <v>466272</v>
      </c>
      <c r="L32" s="451">
        <v>640723</v>
      </c>
      <c r="M32" s="451">
        <v>649880</v>
      </c>
      <c r="N32" s="451">
        <v>645127</v>
      </c>
      <c r="O32" s="451">
        <v>602778</v>
      </c>
    </row>
    <row r="33" spans="5:15" x14ac:dyDescent="0.25">
      <c r="E33" s="582" t="s">
        <v>1544</v>
      </c>
      <c r="F33" s="452">
        <v>6056754</v>
      </c>
      <c r="G33" s="452">
        <v>5630019</v>
      </c>
      <c r="H33" s="451">
        <v>5177543</v>
      </c>
      <c r="I33" s="451">
        <v>5026772</v>
      </c>
      <c r="J33" s="451">
        <v>4579458</v>
      </c>
      <c r="K33" s="451">
        <v>4461800</v>
      </c>
      <c r="L33" s="451">
        <v>4631050</v>
      </c>
      <c r="M33" s="451">
        <v>4441013</v>
      </c>
      <c r="N33" s="451">
        <v>0</v>
      </c>
      <c r="O33" s="451">
        <v>0</v>
      </c>
    </row>
    <row r="34" spans="5:15" x14ac:dyDescent="0.25">
      <c r="E34" s="582" t="s">
        <v>1545</v>
      </c>
      <c r="F34" s="452">
        <v>2448161</v>
      </c>
      <c r="G34" s="452">
        <v>6011641</v>
      </c>
      <c r="H34" s="451">
        <v>6325812</v>
      </c>
      <c r="I34" s="451">
        <v>5617106</v>
      </c>
      <c r="J34" s="451">
        <v>5677990</v>
      </c>
      <c r="K34" s="451">
        <v>5675106</v>
      </c>
      <c r="L34" s="451">
        <v>5594814</v>
      </c>
      <c r="M34" s="451">
        <v>5318367</v>
      </c>
      <c r="N34" s="451">
        <v>0</v>
      </c>
      <c r="O34" s="451">
        <v>0</v>
      </c>
    </row>
    <row r="35" spans="5:15" x14ac:dyDescent="0.25">
      <c r="E35" s="582" t="s">
        <v>1546</v>
      </c>
      <c r="F35" s="452">
        <v>22944</v>
      </c>
      <c r="G35" s="452">
        <v>-11941</v>
      </c>
      <c r="H35" s="451">
        <v>358444</v>
      </c>
      <c r="I35" s="451">
        <v>446579</v>
      </c>
      <c r="J35" s="451">
        <v>4836102</v>
      </c>
      <c r="K35" s="451">
        <v>5756027</v>
      </c>
      <c r="L35" s="451">
        <v>5488667</v>
      </c>
      <c r="M35" s="451">
        <v>3317370</v>
      </c>
      <c r="N35" s="451">
        <v>0</v>
      </c>
      <c r="O35" s="451">
        <v>0</v>
      </c>
    </row>
    <row r="36" spans="5:15" x14ac:dyDescent="0.25">
      <c r="E36" s="582" t="s">
        <v>1547</v>
      </c>
      <c r="F36" s="452">
        <v>868837</v>
      </c>
      <c r="G36" s="452">
        <v>860631</v>
      </c>
      <c r="H36" s="451">
        <v>904524</v>
      </c>
      <c r="I36" s="451">
        <v>923664</v>
      </c>
      <c r="J36" s="451">
        <v>875880</v>
      </c>
      <c r="K36" s="451">
        <v>918823</v>
      </c>
      <c r="L36" s="451">
        <v>1005036</v>
      </c>
      <c r="M36" s="451">
        <v>952007</v>
      </c>
      <c r="N36" s="451">
        <v>0</v>
      </c>
      <c r="O36" s="451">
        <v>0</v>
      </c>
    </row>
    <row r="37" spans="5:15" x14ac:dyDescent="0.25">
      <c r="E37" s="582" t="s">
        <v>1548</v>
      </c>
      <c r="F37" s="454">
        <v>1543866</v>
      </c>
      <c r="G37" s="454">
        <v>1439376</v>
      </c>
      <c r="H37" s="449">
        <v>1244252</v>
      </c>
      <c r="I37" s="449">
        <v>1299949</v>
      </c>
      <c r="J37" s="449">
        <v>1251532</v>
      </c>
      <c r="K37" s="449">
        <v>1158972</v>
      </c>
      <c r="L37" s="449">
        <v>1159590</v>
      </c>
      <c r="M37" s="449">
        <v>1113125</v>
      </c>
      <c r="N37" s="449">
        <v>0</v>
      </c>
      <c r="O37" s="449">
        <v>0</v>
      </c>
    </row>
    <row r="38" spans="5:15" ht="20.100000000000001" customHeight="1" x14ac:dyDescent="0.25">
      <c r="E38" s="69" t="s">
        <v>1526</v>
      </c>
      <c r="F38" s="70">
        <f>IF(COUNT(F24:F37),SUM(F24:F37),"")</f>
        <v>200968586</v>
      </c>
      <c r="G38" s="70">
        <f t="shared" ref="G38:O38" si="1">IF(COUNT(G24:G37),SUM(G24:G37),"")</f>
        <v>202373805</v>
      </c>
      <c r="H38" s="70">
        <f t="shared" si="1"/>
        <v>207911947</v>
      </c>
      <c r="I38" s="70">
        <f t="shared" si="1"/>
        <v>193020468</v>
      </c>
      <c r="J38" s="70">
        <f t="shared" si="1"/>
        <v>194032003</v>
      </c>
      <c r="K38" s="70">
        <f t="shared" si="1"/>
        <v>192575480</v>
      </c>
      <c r="L38" s="70">
        <f t="shared" si="1"/>
        <v>192356107</v>
      </c>
      <c r="M38" s="70">
        <f t="shared" si="1"/>
        <v>180703678</v>
      </c>
      <c r="N38" s="70">
        <f t="shared" si="1"/>
        <v>155829690</v>
      </c>
      <c r="O38" s="70">
        <f t="shared" si="1"/>
        <v>160629568</v>
      </c>
    </row>
    <row r="39" spans="5:15" ht="20.100000000000001" customHeight="1" x14ac:dyDescent="0.25">
      <c r="E39" s="71" t="s">
        <v>1527</v>
      </c>
      <c r="F39" s="72">
        <f>IF(COUNT(F22,F38),SUM(F22,F38),"")</f>
        <v>510161476</v>
      </c>
      <c r="G39" s="72">
        <f t="shared" ref="G39:O39" si="2">IF(COUNT(G22,G38),SUM(G22,G38),"")</f>
        <v>490967643</v>
      </c>
      <c r="H39" s="72">
        <f t="shared" si="2"/>
        <v>476295874</v>
      </c>
      <c r="I39" s="72">
        <f t="shared" si="2"/>
        <v>474534412</v>
      </c>
      <c r="J39" s="72">
        <f t="shared" si="2"/>
        <v>463983962</v>
      </c>
      <c r="K39" s="72">
        <f t="shared" si="2"/>
        <v>468828475</v>
      </c>
      <c r="L39" s="72">
        <f t="shared" si="2"/>
        <v>482691132</v>
      </c>
      <c r="M39" s="72">
        <f t="shared" si="2"/>
        <v>448168842</v>
      </c>
      <c r="N39" s="72">
        <f t="shared" si="2"/>
        <v>447522220</v>
      </c>
      <c r="O39" s="72">
        <f t="shared" si="2"/>
        <v>456072492</v>
      </c>
    </row>
    <row r="40" spans="5:15" ht="20.100000000000001" customHeight="1" x14ac:dyDescent="0.25">
      <c r="E40" s="73" t="s">
        <v>143</v>
      </c>
      <c r="F40" s="795"/>
      <c r="G40" s="796"/>
      <c r="H40" s="796"/>
      <c r="I40" s="796"/>
      <c r="J40" s="796"/>
      <c r="K40" s="796"/>
      <c r="L40" s="796"/>
      <c r="M40" s="796"/>
      <c r="N40" s="796"/>
      <c r="O40" s="797"/>
    </row>
    <row r="41" spans="5:15" ht="20.100000000000001" customHeight="1" x14ac:dyDescent="0.25">
      <c r="E41" s="73" t="s">
        <v>141</v>
      </c>
      <c r="F41" s="798"/>
      <c r="G41" s="799"/>
      <c r="H41" s="799"/>
      <c r="I41" s="799"/>
      <c r="J41" s="799"/>
      <c r="K41" s="799"/>
      <c r="L41" s="799"/>
      <c r="M41" s="799"/>
      <c r="N41" s="799"/>
      <c r="O41" s="800"/>
    </row>
    <row r="42" spans="5:15" ht="20.100000000000001" customHeight="1" x14ac:dyDescent="0.25">
      <c r="E42" s="62" t="s">
        <v>144</v>
      </c>
      <c r="F42" s="801"/>
      <c r="G42" s="802"/>
      <c r="H42" s="802"/>
      <c r="I42" s="802"/>
      <c r="J42" s="802"/>
      <c r="K42" s="802"/>
      <c r="L42" s="802"/>
      <c r="M42" s="802"/>
      <c r="N42" s="802"/>
      <c r="O42" s="803"/>
    </row>
    <row r="43" spans="5:15" x14ac:dyDescent="0.25">
      <c r="E43" s="581" t="s">
        <v>1549</v>
      </c>
      <c r="F43" s="453">
        <v>26180815</v>
      </c>
      <c r="G43" s="453">
        <v>25008773</v>
      </c>
      <c r="H43" s="448">
        <v>25588021</v>
      </c>
      <c r="I43" s="448">
        <v>23979071</v>
      </c>
      <c r="J43" s="448">
        <v>21253713</v>
      </c>
      <c r="K43" s="448">
        <v>19998376</v>
      </c>
      <c r="L43" s="448">
        <v>21909825</v>
      </c>
      <c r="M43" s="448">
        <v>18867174</v>
      </c>
      <c r="N43" s="448">
        <v>19817671</v>
      </c>
      <c r="O43" s="448">
        <v>18195945</v>
      </c>
    </row>
    <row r="44" spans="5:15" x14ac:dyDescent="0.25">
      <c r="E44" s="582" t="s">
        <v>1550</v>
      </c>
      <c r="F44" s="452">
        <v>10890299</v>
      </c>
      <c r="G44" s="452">
        <v>10716968</v>
      </c>
      <c r="H44" s="451">
        <v>9965943</v>
      </c>
      <c r="I44" s="451">
        <v>8985354</v>
      </c>
      <c r="J44" s="451">
        <v>7974763</v>
      </c>
      <c r="K44" s="451">
        <v>6698963</v>
      </c>
      <c r="L44" s="451">
        <v>5064441</v>
      </c>
      <c r="M44" s="451">
        <v>4746494</v>
      </c>
      <c r="N44" s="451">
        <v>4754650</v>
      </c>
      <c r="O44" s="451">
        <v>5032048</v>
      </c>
    </row>
    <row r="45" spans="5:15" x14ac:dyDescent="0.25">
      <c r="E45" s="582" t="s">
        <v>1551</v>
      </c>
      <c r="F45" s="452">
        <v>4931788</v>
      </c>
      <c r="G45" s="452">
        <v>4537354</v>
      </c>
      <c r="H45" s="451">
        <v>4264678</v>
      </c>
      <c r="I45" s="451">
        <v>4908117</v>
      </c>
      <c r="J45" s="451">
        <v>5951206</v>
      </c>
      <c r="K45" s="451">
        <v>5783656</v>
      </c>
      <c r="L45" s="451">
        <v>3942075</v>
      </c>
      <c r="M45" s="451">
        <v>2798285</v>
      </c>
      <c r="N45" s="451">
        <v>4167737</v>
      </c>
      <c r="O45" s="451">
        <v>3937556</v>
      </c>
    </row>
    <row r="46" spans="5:15" x14ac:dyDescent="0.25">
      <c r="E46" s="582" t="s">
        <v>1552</v>
      </c>
      <c r="F46" s="452">
        <v>13365978</v>
      </c>
      <c r="G46" s="452">
        <v>13491297</v>
      </c>
      <c r="H46" s="451">
        <v>13576957</v>
      </c>
      <c r="I46" s="451">
        <v>14285038</v>
      </c>
      <c r="J46" s="451">
        <v>13773082</v>
      </c>
      <c r="K46" s="451">
        <v>13063380</v>
      </c>
      <c r="L46" s="451">
        <v>13146937</v>
      </c>
      <c r="M46" s="451">
        <v>13323610</v>
      </c>
      <c r="N46" s="451">
        <v>15053402</v>
      </c>
      <c r="O46" s="451">
        <v>14266708</v>
      </c>
    </row>
    <row r="47" spans="5:15" x14ac:dyDescent="0.25">
      <c r="E47" s="582" t="s">
        <v>1553</v>
      </c>
      <c r="F47" s="452">
        <v>1086202</v>
      </c>
      <c r="G47" s="452">
        <v>905723</v>
      </c>
      <c r="H47" s="451">
        <v>1085615</v>
      </c>
      <c r="I47" s="451">
        <v>1481064</v>
      </c>
      <c r="J47" s="451">
        <v>1287717</v>
      </c>
      <c r="K47" s="451">
        <v>730562</v>
      </c>
      <c r="L47" s="451">
        <v>262034</v>
      </c>
      <c r="M47" s="451">
        <v>611424</v>
      </c>
      <c r="N47" s="451">
        <v>5812897</v>
      </c>
      <c r="O47" s="451">
        <v>4254239</v>
      </c>
    </row>
    <row r="48" spans="5:15" x14ac:dyDescent="0.25">
      <c r="E48" s="582" t="s">
        <v>1528</v>
      </c>
      <c r="F48" s="452">
        <v>6426171</v>
      </c>
      <c r="G48" s="452">
        <v>6352970</v>
      </c>
      <c r="H48" s="451">
        <v>6564302</v>
      </c>
      <c r="I48" s="451">
        <v>5929944</v>
      </c>
      <c r="J48" s="451">
        <v>6561071</v>
      </c>
      <c r="K48" s="451">
        <v>7109628</v>
      </c>
      <c r="L48" s="451">
        <v>6866414</v>
      </c>
      <c r="M48" s="451">
        <v>5942323</v>
      </c>
      <c r="N48" s="451">
        <v>13172302</v>
      </c>
      <c r="O48" s="451">
        <v>13132583</v>
      </c>
    </row>
    <row r="49" spans="5:15" x14ac:dyDescent="0.25">
      <c r="E49" s="582" t="s">
        <v>1554</v>
      </c>
      <c r="F49" s="452">
        <v>10517539</v>
      </c>
      <c r="G49" s="452">
        <v>9445795</v>
      </c>
      <c r="H49" s="451">
        <v>6821336</v>
      </c>
      <c r="I49" s="451">
        <v>9201224</v>
      </c>
      <c r="J49" s="451">
        <v>10331039</v>
      </c>
      <c r="K49" s="451">
        <v>6037740</v>
      </c>
      <c r="L49" s="451">
        <v>7458717</v>
      </c>
      <c r="M49" s="451">
        <v>6525944</v>
      </c>
      <c r="N49" s="451">
        <v>13086817</v>
      </c>
      <c r="O49" s="451">
        <v>22056970</v>
      </c>
    </row>
    <row r="50" spans="5:15" x14ac:dyDescent="0.25">
      <c r="E50" s="583" t="s">
        <v>1555</v>
      </c>
      <c r="F50" s="454">
        <v>6471582</v>
      </c>
      <c r="G50" s="454">
        <v>5562573</v>
      </c>
      <c r="H50" s="449">
        <v>3733884</v>
      </c>
      <c r="I50" s="449">
        <v>616129</v>
      </c>
      <c r="J50" s="449">
        <v>916449</v>
      </c>
      <c r="K50" s="449">
        <v>9906530</v>
      </c>
      <c r="L50" s="449">
        <v>13840226</v>
      </c>
      <c r="M50" s="449">
        <v>18355946</v>
      </c>
      <c r="N50" s="449">
        <v>6389691</v>
      </c>
      <c r="O50" s="449">
        <v>5548409</v>
      </c>
    </row>
    <row r="51" spans="5:15" ht="20.100000000000001" customHeight="1" x14ac:dyDescent="0.25">
      <c r="E51" s="69" t="s">
        <v>1529</v>
      </c>
      <c r="F51" s="70">
        <f>IF(COUNT(F43:F50),SUM(F43:F50),"")</f>
        <v>79870374</v>
      </c>
      <c r="G51" s="70">
        <f t="shared" ref="G51:O51" si="3">IF(COUNT(G43:G50),SUM(G43:G50),"")</f>
        <v>76021453</v>
      </c>
      <c r="H51" s="70">
        <f t="shared" si="3"/>
        <v>71600736</v>
      </c>
      <c r="I51" s="70">
        <f t="shared" si="3"/>
        <v>69385941</v>
      </c>
      <c r="J51" s="70">
        <f t="shared" si="3"/>
        <v>68049040</v>
      </c>
      <c r="K51" s="70">
        <f t="shared" si="3"/>
        <v>69328835</v>
      </c>
      <c r="L51" s="70">
        <f t="shared" si="3"/>
        <v>72490669</v>
      </c>
      <c r="M51" s="70">
        <f t="shared" si="3"/>
        <v>71171200</v>
      </c>
      <c r="N51" s="70">
        <f t="shared" si="3"/>
        <v>82255167</v>
      </c>
      <c r="O51" s="70">
        <f t="shared" si="3"/>
        <v>86424458</v>
      </c>
    </row>
    <row r="52" spans="5:15" ht="20.100000000000001" customHeight="1" x14ac:dyDescent="0.25">
      <c r="E52" s="61" t="s">
        <v>142</v>
      </c>
      <c r="F52" s="740"/>
      <c r="G52" s="740"/>
      <c r="H52" s="740"/>
      <c r="I52" s="740"/>
      <c r="J52" s="740"/>
      <c r="K52" s="740"/>
      <c r="L52" s="740"/>
      <c r="M52" s="740"/>
      <c r="N52" s="740"/>
      <c r="O52" s="740"/>
    </row>
    <row r="53" spans="5:15" ht="20.100000000000001" customHeight="1" x14ac:dyDescent="0.25">
      <c r="E53" s="272" t="s">
        <v>145</v>
      </c>
      <c r="F53" s="804"/>
      <c r="G53" s="804"/>
      <c r="H53" s="804"/>
      <c r="I53" s="804"/>
      <c r="J53" s="804"/>
      <c r="K53" s="804"/>
      <c r="L53" s="804"/>
      <c r="M53" s="804"/>
      <c r="N53" s="804"/>
      <c r="O53" s="804"/>
    </row>
    <row r="54" spans="5:15" x14ac:dyDescent="0.25">
      <c r="E54" s="585" t="s">
        <v>257</v>
      </c>
      <c r="F54" s="470">
        <v>122493193</v>
      </c>
      <c r="G54" s="470">
        <v>116323253</v>
      </c>
      <c r="H54" s="471">
        <v>111051865</v>
      </c>
      <c r="I54" s="471">
        <v>106737684</v>
      </c>
      <c r="J54" s="471">
        <v>101885017</v>
      </c>
      <c r="K54" s="471">
        <v>101175434</v>
      </c>
      <c r="L54" s="471">
        <v>95754184</v>
      </c>
      <c r="M54" s="471">
        <v>89685100</v>
      </c>
      <c r="N54" s="471">
        <v>90109001</v>
      </c>
      <c r="O54" s="471">
        <v>91344531</v>
      </c>
    </row>
    <row r="55" spans="5:15" x14ac:dyDescent="0.25">
      <c r="E55" s="582" t="s">
        <v>256</v>
      </c>
      <c r="F55" s="452">
        <v>15654513</v>
      </c>
      <c r="G55" s="452">
        <v>11824404</v>
      </c>
      <c r="H55" s="451">
        <v>11965653</v>
      </c>
      <c r="I55" s="451">
        <v>11726654</v>
      </c>
      <c r="J55" s="451">
        <v>11834570</v>
      </c>
      <c r="K55" s="451">
        <v>11642112</v>
      </c>
      <c r="L55" s="451">
        <v>12182306</v>
      </c>
      <c r="M55" s="451">
        <v>12275998</v>
      </c>
      <c r="N55" s="451">
        <v>11992634</v>
      </c>
      <c r="O55" s="451">
        <v>11777411</v>
      </c>
    </row>
    <row r="56" spans="5:15" x14ac:dyDescent="0.25">
      <c r="E56" s="582" t="s">
        <v>255</v>
      </c>
      <c r="F56" s="452">
        <v>43760762</v>
      </c>
      <c r="G56" s="452">
        <v>44091174</v>
      </c>
      <c r="H56" s="451">
        <v>40187067</v>
      </c>
      <c r="I56" s="451">
        <v>40557379</v>
      </c>
      <c r="J56" s="451">
        <v>40117857</v>
      </c>
      <c r="K56" s="451">
        <v>39835630</v>
      </c>
      <c r="L56" s="451">
        <v>39524555</v>
      </c>
      <c r="M56" s="451">
        <v>39910352</v>
      </c>
      <c r="N56" s="451">
        <v>40089897</v>
      </c>
      <c r="O56" s="451">
        <v>39773147</v>
      </c>
    </row>
    <row r="57" spans="5:15" x14ac:dyDescent="0.25">
      <c r="E57" s="582" t="s">
        <v>254</v>
      </c>
      <c r="F57" s="452">
        <v>1359840</v>
      </c>
      <c r="G57" s="452">
        <v>1198181</v>
      </c>
      <c r="H57" s="451">
        <v>1304151</v>
      </c>
      <c r="I57" s="451">
        <v>1430589</v>
      </c>
      <c r="J57" s="451">
        <v>1506357</v>
      </c>
      <c r="K57" s="451">
        <v>1436634</v>
      </c>
      <c r="L57" s="451">
        <v>1421744</v>
      </c>
      <c r="M57" s="451">
        <v>1631382</v>
      </c>
      <c r="N57" s="451">
        <v>0</v>
      </c>
      <c r="O57" s="451">
        <v>0</v>
      </c>
    </row>
    <row r="58" spans="5:15" x14ac:dyDescent="0.25">
      <c r="E58" s="582" t="s">
        <v>253</v>
      </c>
      <c r="F58" s="452">
        <v>1137980</v>
      </c>
      <c r="G58" s="452">
        <v>1139131</v>
      </c>
      <c r="H58" s="451">
        <v>1119783</v>
      </c>
      <c r="I58" s="451">
        <v>1152579</v>
      </c>
      <c r="J58" s="451">
        <v>877784</v>
      </c>
      <c r="K58" s="451">
        <v>989405</v>
      </c>
      <c r="L58" s="451">
        <v>996722</v>
      </c>
      <c r="M58" s="451">
        <v>941184</v>
      </c>
      <c r="N58" s="451">
        <v>894795</v>
      </c>
      <c r="O58" s="451">
        <v>838887</v>
      </c>
    </row>
    <row r="59" spans="5:15" x14ac:dyDescent="0.25">
      <c r="E59" s="582" t="s">
        <v>252</v>
      </c>
      <c r="F59" s="452">
        <v>88260</v>
      </c>
      <c r="G59" s="452">
        <v>133899</v>
      </c>
      <c r="H59" s="451">
        <v>43928</v>
      </c>
      <c r="I59" s="451">
        <v>105162</v>
      </c>
      <c r="J59" s="451">
        <v>57875</v>
      </c>
      <c r="K59" s="451">
        <v>206372</v>
      </c>
      <c r="L59" s="451">
        <v>185026</v>
      </c>
      <c r="M59" s="451">
        <v>182920</v>
      </c>
      <c r="N59" s="451">
        <v>189581</v>
      </c>
      <c r="O59" s="451">
        <v>156747</v>
      </c>
    </row>
    <row r="60" spans="5:15" x14ac:dyDescent="0.25">
      <c r="E60" s="586" t="s">
        <v>251</v>
      </c>
      <c r="F60" s="452">
        <v>3783870</v>
      </c>
      <c r="G60" s="452">
        <v>3753431</v>
      </c>
      <c r="H60" s="451">
        <v>3769189</v>
      </c>
      <c r="I60" s="451">
        <v>3747555</v>
      </c>
      <c r="J60" s="451">
        <v>3433502</v>
      </c>
      <c r="K60" s="451">
        <v>3351961</v>
      </c>
      <c r="L60" s="451">
        <v>3253788</v>
      </c>
      <c r="M60" s="451">
        <v>2765619</v>
      </c>
      <c r="N60" s="451">
        <v>2760434</v>
      </c>
      <c r="O60" s="451">
        <v>2720224</v>
      </c>
    </row>
    <row r="61" spans="5:15" x14ac:dyDescent="0.25">
      <c r="E61" s="586" t="s">
        <v>250</v>
      </c>
      <c r="F61" s="452">
        <v>2852478</v>
      </c>
      <c r="G61" s="452">
        <v>3257031</v>
      </c>
      <c r="H61" s="451">
        <v>3338378</v>
      </c>
      <c r="I61" s="451">
        <v>3427870</v>
      </c>
      <c r="J61" s="451">
        <v>3537661</v>
      </c>
      <c r="K61" s="451">
        <v>3663158</v>
      </c>
      <c r="L61" s="451">
        <v>3462240</v>
      </c>
      <c r="M61" s="451">
        <v>3272289</v>
      </c>
      <c r="N61" s="451">
        <v>3719800</v>
      </c>
      <c r="O61" s="451">
        <v>3937482</v>
      </c>
    </row>
    <row r="62" spans="5:15" x14ac:dyDescent="0.25">
      <c r="E62" s="586" t="s">
        <v>249</v>
      </c>
      <c r="F62" s="452">
        <v>583266</v>
      </c>
      <c r="G62" s="452">
        <v>469030</v>
      </c>
      <c r="H62" s="451">
        <v>465173</v>
      </c>
      <c r="I62" s="451">
        <v>486373</v>
      </c>
      <c r="J62" s="451">
        <v>453737</v>
      </c>
      <c r="K62" s="451">
        <v>388540</v>
      </c>
      <c r="L62" s="451">
        <v>526014</v>
      </c>
      <c r="M62" s="451">
        <v>503500</v>
      </c>
      <c r="N62" s="451">
        <v>510024</v>
      </c>
      <c r="O62" s="451">
        <v>442585</v>
      </c>
    </row>
    <row r="63" spans="5:15" x14ac:dyDescent="0.25">
      <c r="E63" s="586" t="s">
        <v>248</v>
      </c>
      <c r="F63" s="452">
        <v>7637068</v>
      </c>
      <c r="G63" s="452">
        <v>7613755</v>
      </c>
      <c r="H63" s="451">
        <v>6951993</v>
      </c>
      <c r="I63" s="451">
        <v>6162463</v>
      </c>
      <c r="J63" s="451">
        <v>6246572</v>
      </c>
      <c r="K63" s="451">
        <v>5671961</v>
      </c>
      <c r="L63" s="451">
        <v>4919124</v>
      </c>
      <c r="M63" s="451">
        <v>4508906</v>
      </c>
      <c r="N63" s="451">
        <v>0</v>
      </c>
      <c r="O63" s="451">
        <v>0</v>
      </c>
    </row>
    <row r="64" spans="5:15" x14ac:dyDescent="0.25">
      <c r="E64" s="586" t="s">
        <v>247</v>
      </c>
      <c r="F64" s="452">
        <v>146434</v>
      </c>
      <c r="G64" s="452">
        <v>3571112</v>
      </c>
      <c r="H64" s="451">
        <v>3670641</v>
      </c>
      <c r="I64" s="451">
        <v>2787508</v>
      </c>
      <c r="J64" s="451">
        <v>3021141</v>
      </c>
      <c r="K64" s="451">
        <v>2979981</v>
      </c>
      <c r="L64" s="451">
        <v>2220446</v>
      </c>
      <c r="M64" s="451">
        <v>2513252</v>
      </c>
      <c r="N64" s="451">
        <v>0</v>
      </c>
      <c r="O64" s="451">
        <v>0</v>
      </c>
    </row>
    <row r="65" spans="5:15" x14ac:dyDescent="0.25">
      <c r="E65" s="586" t="s">
        <v>246</v>
      </c>
      <c r="F65" s="452">
        <v>0</v>
      </c>
      <c r="G65" s="452">
        <v>0</v>
      </c>
      <c r="H65" s="451">
        <v>0</v>
      </c>
      <c r="I65" s="451">
        <v>0</v>
      </c>
      <c r="J65" s="451">
        <v>537771</v>
      </c>
      <c r="K65" s="451">
        <v>946158</v>
      </c>
      <c r="L65" s="451">
        <v>989196</v>
      </c>
      <c r="M65" s="451">
        <v>1212985</v>
      </c>
      <c r="N65" s="451">
        <v>0</v>
      </c>
      <c r="O65" s="451">
        <v>0</v>
      </c>
    </row>
    <row r="66" spans="5:15" x14ac:dyDescent="0.25">
      <c r="E66" s="586" t="s">
        <v>245</v>
      </c>
      <c r="F66" s="452">
        <v>659576</v>
      </c>
      <c r="G66" s="452">
        <v>568464</v>
      </c>
      <c r="H66" s="451">
        <v>568681</v>
      </c>
      <c r="I66" s="451">
        <v>576373</v>
      </c>
      <c r="J66" s="451">
        <v>493279</v>
      </c>
      <c r="K66" s="451">
        <v>544769</v>
      </c>
      <c r="L66" s="451">
        <v>559190</v>
      </c>
      <c r="M66" s="451">
        <v>502147</v>
      </c>
      <c r="N66" s="451">
        <v>0</v>
      </c>
      <c r="O66" s="451">
        <v>0</v>
      </c>
    </row>
    <row r="67" spans="5:15" x14ac:dyDescent="0.25">
      <c r="E67" s="586" t="s">
        <v>244</v>
      </c>
      <c r="F67" s="452">
        <v>1354252</v>
      </c>
      <c r="G67" s="452">
        <v>1120215</v>
      </c>
      <c r="H67" s="451">
        <v>942843</v>
      </c>
      <c r="I67" s="451">
        <v>893863</v>
      </c>
      <c r="J67" s="451">
        <v>809863</v>
      </c>
      <c r="K67" s="451">
        <v>761578</v>
      </c>
      <c r="L67" s="451">
        <v>647923</v>
      </c>
      <c r="M67" s="451">
        <v>605338</v>
      </c>
      <c r="N67" s="451">
        <v>0</v>
      </c>
      <c r="O67" s="451">
        <v>0</v>
      </c>
    </row>
    <row r="68" spans="5:15" x14ac:dyDescent="0.25">
      <c r="E68" s="582" t="s">
        <v>1556</v>
      </c>
      <c r="F68" s="452">
        <v>3529778</v>
      </c>
      <c r="G68" s="451">
        <v>2689792</v>
      </c>
      <c r="H68" s="451">
        <v>1277263</v>
      </c>
      <c r="I68" s="451">
        <v>1971091</v>
      </c>
      <c r="J68" s="451">
        <v>1660484</v>
      </c>
      <c r="K68" s="451">
        <v>1294996</v>
      </c>
      <c r="L68" s="451">
        <v>669447</v>
      </c>
      <c r="M68" s="451">
        <v>1464498</v>
      </c>
      <c r="N68" s="451">
        <v>1324016</v>
      </c>
      <c r="O68" s="451">
        <v>1415362</v>
      </c>
    </row>
    <row r="69" spans="5:15" x14ac:dyDescent="0.25">
      <c r="E69" s="590" t="s">
        <v>1557</v>
      </c>
      <c r="F69" s="472">
        <v>1563014</v>
      </c>
      <c r="G69" s="473">
        <v>4805151</v>
      </c>
      <c r="H69" s="473">
        <v>4386636</v>
      </c>
      <c r="I69" s="473">
        <v>5705904</v>
      </c>
      <c r="J69" s="473">
        <v>2890584</v>
      </c>
      <c r="K69" s="473">
        <v>3668781</v>
      </c>
      <c r="L69" s="473">
        <v>7343376</v>
      </c>
      <c r="M69" s="473">
        <v>5547370</v>
      </c>
      <c r="N69" s="473">
        <v>12866193</v>
      </c>
      <c r="O69" s="473">
        <v>2851376</v>
      </c>
    </row>
    <row r="70" spans="5:15" ht="20.100000000000001" customHeight="1" x14ac:dyDescent="0.25">
      <c r="E70" s="71" t="s">
        <v>1530</v>
      </c>
      <c r="F70" s="70">
        <f>IF(COUNT(F54:F69),SUM(F54:F69),"")</f>
        <v>206604284</v>
      </c>
      <c r="G70" s="70">
        <f t="shared" ref="G70:O70" si="4">IF(COUNT(G54:G69),SUM(G54:G69),"")</f>
        <v>202558023</v>
      </c>
      <c r="H70" s="70">
        <f t="shared" si="4"/>
        <v>191043244</v>
      </c>
      <c r="I70" s="70">
        <f t="shared" si="4"/>
        <v>187469047</v>
      </c>
      <c r="J70" s="70">
        <f t="shared" si="4"/>
        <v>179364054</v>
      </c>
      <c r="K70" s="70">
        <f t="shared" si="4"/>
        <v>178557470</v>
      </c>
      <c r="L70" s="70">
        <f t="shared" si="4"/>
        <v>174655281</v>
      </c>
      <c r="M70" s="70">
        <f t="shared" si="4"/>
        <v>167522840</v>
      </c>
      <c r="N70" s="70">
        <f t="shared" si="4"/>
        <v>164456375</v>
      </c>
      <c r="O70" s="70">
        <f t="shared" si="4"/>
        <v>155257752</v>
      </c>
    </row>
    <row r="71" spans="5:15" ht="20.100000000000001" customHeight="1" x14ac:dyDescent="0.25">
      <c r="E71" s="69" t="s">
        <v>1531</v>
      </c>
      <c r="F71" s="70">
        <f>IF(COUNT(F51,F70),SUM(F51,F70),"")</f>
        <v>286474658</v>
      </c>
      <c r="G71" s="70">
        <f t="shared" ref="G71:O71" si="5">IF(COUNT(G51,G70),SUM(G51,G70),"")</f>
        <v>278579476</v>
      </c>
      <c r="H71" s="70">
        <f t="shared" si="5"/>
        <v>262643980</v>
      </c>
      <c r="I71" s="70">
        <f t="shared" si="5"/>
        <v>256854988</v>
      </c>
      <c r="J71" s="70">
        <f t="shared" si="5"/>
        <v>247413094</v>
      </c>
      <c r="K71" s="70">
        <f t="shared" si="5"/>
        <v>247886305</v>
      </c>
      <c r="L71" s="70">
        <f t="shared" si="5"/>
        <v>247145950</v>
      </c>
      <c r="M71" s="70">
        <f t="shared" si="5"/>
        <v>238694040</v>
      </c>
      <c r="N71" s="70">
        <f t="shared" si="5"/>
        <v>246711542</v>
      </c>
      <c r="O71" s="70">
        <f t="shared" si="5"/>
        <v>241682210</v>
      </c>
    </row>
    <row r="72" spans="5:15" ht="20.100000000000001" customHeight="1" x14ac:dyDescent="0.25">
      <c r="E72" s="62" t="s">
        <v>1532</v>
      </c>
      <c r="F72" s="740"/>
      <c r="G72" s="740"/>
      <c r="H72" s="740"/>
      <c r="I72" s="740"/>
      <c r="J72" s="740"/>
      <c r="K72" s="740"/>
      <c r="L72" s="740"/>
      <c r="M72" s="740"/>
      <c r="N72" s="740"/>
      <c r="O72" s="740"/>
    </row>
    <row r="73" spans="5:15" x14ac:dyDescent="0.25">
      <c r="E73" s="587" t="s">
        <v>1533</v>
      </c>
      <c r="F73" s="470">
        <v>-229322516</v>
      </c>
      <c r="G73" s="471">
        <v>-212572385</v>
      </c>
      <c r="H73" s="471">
        <v>-196783191</v>
      </c>
      <c r="I73" s="471">
        <v>-212128003</v>
      </c>
      <c r="J73" s="471">
        <v>-201902919</v>
      </c>
      <c r="K73" s="471">
        <v>-206924160</v>
      </c>
      <c r="L73" s="471">
        <v>-217844356</v>
      </c>
      <c r="M73" s="471">
        <v>-196293964</v>
      </c>
      <c r="N73" s="471">
        <v>-209437363</v>
      </c>
      <c r="O73" s="471">
        <v>-209018466</v>
      </c>
    </row>
    <row r="74" spans="5:15" x14ac:dyDescent="0.25">
      <c r="E74" s="588" t="s">
        <v>1534</v>
      </c>
      <c r="F74" s="454">
        <v>5635698</v>
      </c>
      <c r="G74" s="449">
        <v>184218</v>
      </c>
      <c r="H74" s="449">
        <v>-16868703</v>
      </c>
      <c r="I74" s="449">
        <v>-5551421</v>
      </c>
      <c r="J74" s="449">
        <v>-14667949</v>
      </c>
      <c r="K74" s="449">
        <v>-14018010</v>
      </c>
      <c r="L74" s="449">
        <v>-17700826</v>
      </c>
      <c r="M74" s="449">
        <v>-13180838</v>
      </c>
      <c r="N74" s="449">
        <v>8626685</v>
      </c>
      <c r="O74" s="449">
        <v>-5371816</v>
      </c>
    </row>
    <row r="75" spans="5:15" ht="20.100000000000001" customHeight="1" x14ac:dyDescent="0.25">
      <c r="E75" s="69" t="s">
        <v>1558</v>
      </c>
      <c r="F75" s="70">
        <f>IF(COUNT(F73:F74),SUM(F73:F74),"")</f>
        <v>-223686818</v>
      </c>
      <c r="G75" s="70">
        <f t="shared" ref="G75:O75" si="6">IF(COUNT(G73:G74),SUM(G73:G74),"")</f>
        <v>-212388167</v>
      </c>
      <c r="H75" s="70">
        <f t="shared" si="6"/>
        <v>-213651894</v>
      </c>
      <c r="I75" s="70">
        <f t="shared" si="6"/>
        <v>-217679424</v>
      </c>
      <c r="J75" s="70">
        <f t="shared" si="6"/>
        <v>-216570868</v>
      </c>
      <c r="K75" s="70">
        <f t="shared" si="6"/>
        <v>-220942170</v>
      </c>
      <c r="L75" s="70">
        <f t="shared" si="6"/>
        <v>-235545182</v>
      </c>
      <c r="M75" s="70">
        <f t="shared" si="6"/>
        <v>-209474802</v>
      </c>
      <c r="N75" s="70">
        <f t="shared" si="6"/>
        <v>-200810678</v>
      </c>
      <c r="O75" s="70">
        <f t="shared" si="6"/>
        <v>-214390282</v>
      </c>
    </row>
    <row r="76" spans="5:15" x14ac:dyDescent="0.25"/>
  </sheetData>
  <sheetProtection algorithmName="SHA-512" hashValue="N2JhuPuBw8SddF7YmSqXu3/8HIKvGtxXJebnXZKiftRGFSlSrJ6Kgc3luO+StazCgLJ+MvIdXzv7tie/OSpO9A==" saltValue="EXHF5w4yNvui2zq0jZXD5A==" spinCount="100000" sheet="1" objects="1" scenarios="1"/>
  <mergeCells count="10">
    <mergeCell ref="F40:O42"/>
    <mergeCell ref="F52:O52"/>
    <mergeCell ref="F53:O53"/>
    <mergeCell ref="F72:O72"/>
    <mergeCell ref="E10:E12"/>
    <mergeCell ref="F10:N10"/>
    <mergeCell ref="F11:O11"/>
    <mergeCell ref="F13:O13"/>
    <mergeCell ref="F14:O14"/>
    <mergeCell ref="F23:O23"/>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dimension ref="D1:P37"/>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customWidth="1"/>
    <col min="5" max="5" width="40" style="28" customWidth="1"/>
    <col min="6" max="14" width="16.7109375" style="28" customWidth="1"/>
    <col min="15" max="15" width="20.7109375" style="28" customWidth="1"/>
    <col min="16" max="16" width="2.7109375" style="28" customWidth="1"/>
    <col min="17" max="16384" width="9.140625" style="28"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idden="1" x14ac:dyDescent="0.25"/>
    <row r="8" spans="5:15" ht="42.75" hidden="1" customHeight="1" x14ac:dyDescent="0.25">
      <c r="E8" s="27"/>
    </row>
    <row r="9" spans="5:15" ht="36.950000000000003" customHeight="1" x14ac:dyDescent="0.25"/>
    <row r="10" spans="5:15" ht="20.100000000000001" customHeight="1" x14ac:dyDescent="0.25">
      <c r="E10" s="682" t="s">
        <v>1</v>
      </c>
      <c r="F10" s="676" t="s">
        <v>146</v>
      </c>
      <c r="G10" s="677"/>
      <c r="H10" s="677"/>
      <c r="I10" s="677"/>
      <c r="J10" s="677"/>
      <c r="K10" s="677"/>
      <c r="L10" s="677"/>
      <c r="M10" s="677"/>
      <c r="N10" s="678"/>
      <c r="O10" s="406" t="str">
        <f>TEXT(DATE('General Info'!$G$11,VALUE('General Info'!$E$11),'General Info'!$F$11),"MMMM DD, YYYY")</f>
        <v>September 30, 2017</v>
      </c>
    </row>
    <row r="11" spans="5:15" ht="20.100000000000001" customHeight="1" x14ac:dyDescent="0.25">
      <c r="E11" s="790"/>
      <c r="F11" s="785" t="s">
        <v>147</v>
      </c>
      <c r="G11" s="785"/>
      <c r="H11" s="785"/>
      <c r="I11" s="785"/>
      <c r="J11" s="785"/>
      <c r="K11" s="785"/>
      <c r="L11" s="785"/>
      <c r="M11" s="785"/>
      <c r="N11" s="785"/>
      <c r="O11" s="785"/>
    </row>
    <row r="12" spans="5:15" ht="20.100000000000001" customHeight="1" x14ac:dyDescent="0.25">
      <c r="E12" s="683"/>
      <c r="F12" s="408">
        <v>2017</v>
      </c>
      <c r="G12" s="408">
        <v>2016</v>
      </c>
      <c r="H12" s="102">
        <v>2015</v>
      </c>
      <c r="I12" s="102">
        <v>2014</v>
      </c>
      <c r="J12" s="102">
        <v>2013</v>
      </c>
      <c r="K12" s="408">
        <v>2012</v>
      </c>
      <c r="L12" s="408">
        <v>2011</v>
      </c>
      <c r="M12" s="408">
        <v>2010</v>
      </c>
      <c r="N12" s="408">
        <v>2009</v>
      </c>
      <c r="O12" s="408">
        <v>2008</v>
      </c>
    </row>
    <row r="13" spans="5:15" ht="20.100000000000001" customHeight="1" x14ac:dyDescent="0.25">
      <c r="E13" s="2" t="s">
        <v>148</v>
      </c>
      <c r="F13" s="698"/>
      <c r="G13" s="698"/>
      <c r="H13" s="698"/>
      <c r="I13" s="698"/>
      <c r="J13" s="698"/>
      <c r="K13" s="698"/>
      <c r="L13" s="698"/>
      <c r="M13" s="698"/>
      <c r="N13" s="698"/>
      <c r="O13" s="698"/>
    </row>
    <row r="14" spans="5:15" x14ac:dyDescent="0.25">
      <c r="E14" s="271" t="s">
        <v>1589</v>
      </c>
      <c r="F14" s="560">
        <v>9042585</v>
      </c>
      <c r="G14" s="561">
        <v>4612904</v>
      </c>
      <c r="H14" s="560">
        <v>3734959</v>
      </c>
      <c r="I14" s="560">
        <v>4176612</v>
      </c>
      <c r="J14" s="560">
        <v>4767840</v>
      </c>
      <c r="K14" s="561">
        <v>4111920</v>
      </c>
      <c r="L14" s="561">
        <v>38252</v>
      </c>
      <c r="M14" s="561">
        <v>63585</v>
      </c>
      <c r="N14" s="561">
        <v>0</v>
      </c>
      <c r="O14" s="561">
        <v>0</v>
      </c>
    </row>
    <row r="15" spans="5:15" x14ac:dyDescent="0.25">
      <c r="E15" s="77" t="s">
        <v>1590</v>
      </c>
      <c r="F15" s="562">
        <v>32104733</v>
      </c>
      <c r="G15" s="563">
        <v>29614754</v>
      </c>
      <c r="H15" s="562">
        <v>27768624</v>
      </c>
      <c r="I15" s="562">
        <v>26174290</v>
      </c>
      <c r="J15" s="562">
        <v>25065024</v>
      </c>
      <c r="K15" s="563">
        <v>26346101</v>
      </c>
      <c r="L15" s="563">
        <v>25192252</v>
      </c>
      <c r="M15" s="563">
        <v>28889692</v>
      </c>
      <c r="N15" s="563">
        <v>0</v>
      </c>
      <c r="O15" s="563">
        <v>0</v>
      </c>
    </row>
    <row r="16" spans="5:15" x14ac:dyDescent="0.25">
      <c r="E16" s="77" t="s">
        <v>1591</v>
      </c>
      <c r="F16" s="562">
        <v>0</v>
      </c>
      <c r="G16" s="563">
        <v>0</v>
      </c>
      <c r="H16" s="562">
        <v>0</v>
      </c>
      <c r="I16" s="562">
        <v>0</v>
      </c>
      <c r="J16" s="562">
        <v>0</v>
      </c>
      <c r="K16" s="563">
        <v>0</v>
      </c>
      <c r="L16" s="563">
        <v>0</v>
      </c>
      <c r="M16" s="563">
        <v>637073</v>
      </c>
      <c r="N16" s="563">
        <v>0</v>
      </c>
      <c r="O16" s="563">
        <v>0</v>
      </c>
    </row>
    <row r="17" spans="5:15" x14ac:dyDescent="0.25">
      <c r="E17" s="77" t="s">
        <v>1592</v>
      </c>
      <c r="F17" s="562">
        <v>23154218</v>
      </c>
      <c r="G17" s="563">
        <v>28187000</v>
      </c>
      <c r="H17" s="562">
        <v>29180220</v>
      </c>
      <c r="I17" s="562">
        <v>20045611</v>
      </c>
      <c r="J17" s="562">
        <v>10197562</v>
      </c>
      <c r="K17" s="563">
        <v>7891145</v>
      </c>
      <c r="L17" s="563">
        <v>20061954</v>
      </c>
      <c r="M17" s="563">
        <v>23849003</v>
      </c>
      <c r="N17" s="563">
        <v>0</v>
      </c>
      <c r="O17" s="563">
        <v>0</v>
      </c>
    </row>
    <row r="18" spans="5:15" x14ac:dyDescent="0.25">
      <c r="E18" s="77" t="s">
        <v>1559</v>
      </c>
      <c r="F18" s="563">
        <v>0</v>
      </c>
      <c r="G18" s="563">
        <v>0</v>
      </c>
      <c r="H18" s="562">
        <v>0</v>
      </c>
      <c r="I18" s="562">
        <v>0</v>
      </c>
      <c r="J18" s="562">
        <v>0</v>
      </c>
      <c r="K18" s="563">
        <v>0</v>
      </c>
      <c r="L18" s="563">
        <v>0</v>
      </c>
      <c r="M18" s="563">
        <v>0</v>
      </c>
      <c r="N18" s="563">
        <v>726875</v>
      </c>
      <c r="O18" s="563">
        <v>601991</v>
      </c>
    </row>
    <row r="19" spans="5:15" x14ac:dyDescent="0.25">
      <c r="E19" s="78" t="s">
        <v>1560</v>
      </c>
      <c r="F19" s="565">
        <v>0</v>
      </c>
      <c r="G19" s="565">
        <v>0</v>
      </c>
      <c r="H19" s="564">
        <v>0</v>
      </c>
      <c r="I19" s="564">
        <v>0</v>
      </c>
      <c r="J19" s="564">
        <v>0</v>
      </c>
      <c r="K19" s="565">
        <v>0</v>
      </c>
      <c r="L19" s="565">
        <v>0</v>
      </c>
      <c r="M19" s="565">
        <v>0</v>
      </c>
      <c r="N19" s="565">
        <v>42629314</v>
      </c>
      <c r="O19" s="565">
        <v>38569059</v>
      </c>
    </row>
    <row r="20" spans="5:15" ht="30" x14ac:dyDescent="0.25">
      <c r="E20" s="405" t="s">
        <v>1561</v>
      </c>
      <c r="F20" s="15">
        <f>IF(COUNT(F14:F19),SUM(F14:F19),"")</f>
        <v>64301536</v>
      </c>
      <c r="G20" s="15">
        <f t="shared" ref="G20:O20" si="0">IF(COUNT(G14:G19),SUM(G14:G19),"")</f>
        <v>62414658</v>
      </c>
      <c r="H20" s="15">
        <f t="shared" si="0"/>
        <v>60683803</v>
      </c>
      <c r="I20" s="15">
        <f t="shared" si="0"/>
        <v>50396513</v>
      </c>
      <c r="J20" s="15">
        <f t="shared" si="0"/>
        <v>40030426</v>
      </c>
      <c r="K20" s="15">
        <f t="shared" si="0"/>
        <v>38349166</v>
      </c>
      <c r="L20" s="15">
        <f t="shared" si="0"/>
        <v>45292458</v>
      </c>
      <c r="M20" s="15">
        <f t="shared" si="0"/>
        <v>53439353</v>
      </c>
      <c r="N20" s="15">
        <f t="shared" si="0"/>
        <v>43356189</v>
      </c>
      <c r="O20" s="15">
        <f t="shared" si="0"/>
        <v>39171050</v>
      </c>
    </row>
    <row r="21" spans="5:15" ht="20.100000000000001" customHeight="1" x14ac:dyDescent="0.25">
      <c r="E21" s="2" t="s">
        <v>1562</v>
      </c>
      <c r="F21" s="698"/>
      <c r="G21" s="698"/>
      <c r="H21" s="698"/>
      <c r="I21" s="698"/>
      <c r="J21" s="698"/>
      <c r="K21" s="698"/>
      <c r="L21" s="698"/>
      <c r="M21" s="698"/>
      <c r="N21" s="698"/>
      <c r="O21" s="698"/>
    </row>
    <row r="22" spans="5:15" x14ac:dyDescent="0.25">
      <c r="E22" s="594" t="s">
        <v>1593</v>
      </c>
      <c r="F22" s="560">
        <v>503700</v>
      </c>
      <c r="G22" s="561">
        <v>433883</v>
      </c>
      <c r="H22" s="560">
        <v>387311</v>
      </c>
      <c r="I22" s="560">
        <v>395569</v>
      </c>
      <c r="J22" s="560">
        <v>385698</v>
      </c>
      <c r="K22" s="561">
        <v>374190</v>
      </c>
      <c r="L22" s="561">
        <v>10061295</v>
      </c>
      <c r="M22" s="561">
        <v>353792</v>
      </c>
      <c r="N22" s="561">
        <v>0</v>
      </c>
      <c r="O22" s="561">
        <v>0</v>
      </c>
    </row>
    <row r="23" spans="5:15" x14ac:dyDescent="0.25">
      <c r="E23" s="595" t="s">
        <v>1594</v>
      </c>
      <c r="F23" s="562">
        <v>229731689</v>
      </c>
      <c r="G23" s="563">
        <v>160736128</v>
      </c>
      <c r="H23" s="562">
        <v>97469715</v>
      </c>
      <c r="I23" s="562">
        <v>93431776</v>
      </c>
      <c r="J23" s="562">
        <v>81630216</v>
      </c>
      <c r="K23" s="563">
        <v>72439841</v>
      </c>
      <c r="L23" s="563">
        <v>62821368</v>
      </c>
      <c r="M23" s="563">
        <v>75600147</v>
      </c>
      <c r="N23" s="563">
        <v>0</v>
      </c>
      <c r="O23" s="563">
        <v>0</v>
      </c>
    </row>
    <row r="24" spans="5:15" x14ac:dyDescent="0.25">
      <c r="E24" s="595" t="s">
        <v>1595</v>
      </c>
      <c r="F24" s="562">
        <v>15757308</v>
      </c>
      <c r="G24" s="563">
        <v>15489334</v>
      </c>
      <c r="H24" s="562">
        <v>17531749</v>
      </c>
      <c r="I24" s="562">
        <v>14527242</v>
      </c>
      <c r="J24" s="562">
        <v>14762863</v>
      </c>
      <c r="K24" s="563">
        <v>11345489</v>
      </c>
      <c r="L24" s="563">
        <v>11527129</v>
      </c>
      <c r="M24" s="563">
        <v>16871883</v>
      </c>
      <c r="N24" s="563">
        <v>0</v>
      </c>
      <c r="O24" s="563">
        <v>0</v>
      </c>
    </row>
    <row r="25" spans="5:15" x14ac:dyDescent="0.25">
      <c r="E25" s="595" t="s">
        <v>1596</v>
      </c>
      <c r="F25" s="562">
        <v>21566107</v>
      </c>
      <c r="G25" s="563">
        <v>26317966</v>
      </c>
      <c r="H25" s="562">
        <v>18169917</v>
      </c>
      <c r="I25" s="562">
        <v>19625106</v>
      </c>
      <c r="J25" s="562">
        <v>20911313</v>
      </c>
      <c r="K25" s="563">
        <v>23197031</v>
      </c>
      <c r="L25" s="563">
        <v>24023804</v>
      </c>
      <c r="M25" s="563">
        <v>18848659</v>
      </c>
      <c r="N25" s="563">
        <v>0</v>
      </c>
      <c r="O25" s="563">
        <v>0</v>
      </c>
    </row>
    <row r="26" spans="5:15" x14ac:dyDescent="0.25">
      <c r="E26" s="596" t="s">
        <v>1597</v>
      </c>
      <c r="F26" s="564">
        <v>0</v>
      </c>
      <c r="G26" s="565">
        <v>0</v>
      </c>
      <c r="H26" s="564">
        <v>0</v>
      </c>
      <c r="I26" s="564">
        <v>0</v>
      </c>
      <c r="J26" s="564">
        <v>-21667</v>
      </c>
      <c r="K26" s="564">
        <v>-344463</v>
      </c>
      <c r="L26" s="564">
        <v>0</v>
      </c>
      <c r="M26" s="564">
        <v>0</v>
      </c>
      <c r="N26" s="564">
        <v>0</v>
      </c>
      <c r="O26" s="564">
        <v>0</v>
      </c>
    </row>
    <row r="27" spans="5:15" ht="20.100000000000001" customHeight="1" x14ac:dyDescent="0.25">
      <c r="E27" s="2" t="s">
        <v>1563</v>
      </c>
      <c r="F27" s="698"/>
      <c r="G27" s="698"/>
      <c r="H27" s="698"/>
      <c r="I27" s="698"/>
      <c r="J27" s="698"/>
      <c r="K27" s="698"/>
      <c r="L27" s="698"/>
      <c r="M27" s="698"/>
      <c r="N27" s="698"/>
      <c r="O27" s="698"/>
    </row>
    <row r="28" spans="5:15" x14ac:dyDescent="0.25">
      <c r="E28" s="591" t="s">
        <v>1562</v>
      </c>
      <c r="F28" s="561">
        <v>0</v>
      </c>
      <c r="G28" s="561">
        <v>0</v>
      </c>
      <c r="H28" s="560">
        <v>0</v>
      </c>
      <c r="I28" s="560">
        <v>0</v>
      </c>
      <c r="J28" s="560">
        <v>0</v>
      </c>
      <c r="K28" s="561">
        <v>0</v>
      </c>
      <c r="L28" s="561">
        <v>0</v>
      </c>
      <c r="M28" s="561">
        <v>0</v>
      </c>
      <c r="N28" s="561">
        <v>18927131</v>
      </c>
      <c r="O28" s="561">
        <v>9128393</v>
      </c>
    </row>
    <row r="29" spans="5:15" x14ac:dyDescent="0.25">
      <c r="E29" s="593" t="s">
        <v>1564</v>
      </c>
      <c r="F29" s="565">
        <v>0</v>
      </c>
      <c r="G29" s="565">
        <v>0</v>
      </c>
      <c r="H29" s="564">
        <v>0</v>
      </c>
      <c r="I29" s="564">
        <v>0</v>
      </c>
      <c r="J29" s="564">
        <v>0</v>
      </c>
      <c r="K29" s="565">
        <v>0</v>
      </c>
      <c r="L29" s="565">
        <v>0</v>
      </c>
      <c r="M29" s="565">
        <v>0</v>
      </c>
      <c r="N29" s="565">
        <v>0</v>
      </c>
      <c r="O29" s="565">
        <v>20713149</v>
      </c>
    </row>
    <row r="30" spans="5:15" ht="20.100000000000001" customHeight="1" x14ac:dyDescent="0.25">
      <c r="E30" s="409" t="s">
        <v>149</v>
      </c>
      <c r="F30" s="15">
        <f>IF(COUNT(F28:F29),SUM(F28:F29),"")</f>
        <v>0</v>
      </c>
      <c r="G30" s="15">
        <f t="shared" ref="G30:O30" si="1">IF(COUNT(G28:G29),SUM(G28:G29),"")</f>
        <v>0</v>
      </c>
      <c r="H30" s="15">
        <f t="shared" si="1"/>
        <v>0</v>
      </c>
      <c r="I30" s="15">
        <f t="shared" si="1"/>
        <v>0</v>
      </c>
      <c r="J30" s="15">
        <f t="shared" si="1"/>
        <v>0</v>
      </c>
      <c r="K30" s="15">
        <f t="shared" si="1"/>
        <v>0</v>
      </c>
      <c r="L30" s="15">
        <f t="shared" si="1"/>
        <v>0</v>
      </c>
      <c r="M30" s="15">
        <f t="shared" si="1"/>
        <v>0</v>
      </c>
      <c r="N30" s="15">
        <f t="shared" si="1"/>
        <v>18927131</v>
      </c>
      <c r="O30" s="15">
        <f t="shared" si="1"/>
        <v>29841542</v>
      </c>
    </row>
    <row r="31" spans="5:15" ht="20.100000000000001" customHeight="1" x14ac:dyDescent="0.25">
      <c r="E31" s="2" t="s">
        <v>1565</v>
      </c>
      <c r="F31" s="698"/>
      <c r="G31" s="698"/>
      <c r="H31" s="698"/>
      <c r="I31" s="698"/>
      <c r="J31" s="698"/>
      <c r="K31" s="698"/>
      <c r="L31" s="698"/>
      <c r="M31" s="698"/>
      <c r="N31" s="698"/>
      <c r="O31" s="698"/>
    </row>
    <row r="32" spans="5:15" x14ac:dyDescent="0.25">
      <c r="E32" s="591" t="s">
        <v>1566</v>
      </c>
      <c r="F32" s="561">
        <v>0</v>
      </c>
      <c r="G32" s="561">
        <v>0</v>
      </c>
      <c r="H32" s="561">
        <v>0</v>
      </c>
      <c r="I32" s="561">
        <v>0</v>
      </c>
      <c r="J32" s="561">
        <v>0</v>
      </c>
      <c r="K32" s="561">
        <v>0</v>
      </c>
      <c r="L32" s="561">
        <v>0</v>
      </c>
      <c r="M32" s="561">
        <v>0</v>
      </c>
      <c r="N32" s="561">
        <v>59568462</v>
      </c>
      <c r="O32" s="561">
        <v>62201246</v>
      </c>
    </row>
    <row r="33" spans="5:15" x14ac:dyDescent="0.25">
      <c r="E33" s="593" t="s">
        <v>1567</v>
      </c>
      <c r="F33" s="609">
        <v>0</v>
      </c>
      <c r="G33" s="609">
        <v>0</v>
      </c>
      <c r="H33" s="609">
        <v>0</v>
      </c>
      <c r="I33" s="609">
        <v>0</v>
      </c>
      <c r="J33" s="609">
        <v>0</v>
      </c>
      <c r="K33" s="609">
        <v>0</v>
      </c>
      <c r="L33" s="609">
        <v>0</v>
      </c>
      <c r="M33" s="609">
        <v>0</v>
      </c>
      <c r="N33" s="565">
        <v>56805379</v>
      </c>
      <c r="O33" s="565">
        <v>55876096</v>
      </c>
    </row>
    <row r="34" spans="5:15" ht="20.100000000000001" customHeight="1" x14ac:dyDescent="0.25">
      <c r="E34" s="409" t="s">
        <v>150</v>
      </c>
      <c r="F34" s="15">
        <f>IF(COUNT(F32:F33),SUM(F32:F33),"")</f>
        <v>0</v>
      </c>
      <c r="G34" s="15">
        <f t="shared" ref="G34:O34" si="2">IF(COUNT(G32:G33),SUM(G32:G33),"")</f>
        <v>0</v>
      </c>
      <c r="H34" s="15">
        <f t="shared" si="2"/>
        <v>0</v>
      </c>
      <c r="I34" s="15">
        <f t="shared" si="2"/>
        <v>0</v>
      </c>
      <c r="J34" s="15">
        <f t="shared" si="2"/>
        <v>0</v>
      </c>
      <c r="K34" s="15">
        <f t="shared" si="2"/>
        <v>0</v>
      </c>
      <c r="L34" s="15">
        <f t="shared" si="2"/>
        <v>0</v>
      </c>
      <c r="M34" s="15">
        <f t="shared" si="2"/>
        <v>0</v>
      </c>
      <c r="N34" s="15">
        <f t="shared" si="2"/>
        <v>116373841</v>
      </c>
      <c r="O34" s="15">
        <f t="shared" si="2"/>
        <v>118077342</v>
      </c>
    </row>
    <row r="35" spans="5:15" ht="20.100000000000001" customHeight="1" x14ac:dyDescent="0.25">
      <c r="E35" s="46" t="s">
        <v>1568</v>
      </c>
      <c r="F35" s="47">
        <f t="shared" ref="F35:O35" si="3">IF(COUNT(F22:F26,F30,F34),SUM(F22:F26,F30,F34),"")</f>
        <v>267558804</v>
      </c>
      <c r="G35" s="47">
        <f t="shared" si="3"/>
        <v>202977311</v>
      </c>
      <c r="H35" s="47">
        <f t="shared" si="3"/>
        <v>133558692</v>
      </c>
      <c r="I35" s="47">
        <f t="shared" si="3"/>
        <v>127979693</v>
      </c>
      <c r="J35" s="47">
        <f t="shared" si="3"/>
        <v>117668423</v>
      </c>
      <c r="K35" s="47">
        <f t="shared" si="3"/>
        <v>107012088</v>
      </c>
      <c r="L35" s="47">
        <f t="shared" si="3"/>
        <v>108433596</v>
      </c>
      <c r="M35" s="47">
        <f t="shared" si="3"/>
        <v>111674481</v>
      </c>
      <c r="N35" s="47">
        <f t="shared" si="3"/>
        <v>135300972</v>
      </c>
      <c r="O35" s="47">
        <f t="shared" si="3"/>
        <v>147918884</v>
      </c>
    </row>
    <row r="36" spans="5:15" x14ac:dyDescent="0.25">
      <c r="E36" s="80"/>
      <c r="F36" s="81"/>
      <c r="G36" s="82"/>
      <c r="H36" s="83"/>
      <c r="I36" s="83"/>
      <c r="J36" s="83"/>
      <c r="K36" s="83"/>
      <c r="L36" s="83"/>
      <c r="M36" s="83"/>
      <c r="N36" s="83"/>
      <c r="O36" s="83"/>
    </row>
    <row r="37" spans="5:15" hidden="1" x14ac:dyDescent="0.25"/>
  </sheetData>
  <sheetProtection algorithmName="SHA-512" hashValue="bW3lkcc5kbLVfBEX/gMutc1g+KdnJWA3ufYW4QWkPsclV8NIGEoQES8y4iRVC6Gvr1kLIHJs3MM2ObFubEfiJQ==" saltValue="QuFg6cBtfuGCgLuhDp8T7A==" spinCount="100000" sheet="1" objects="1" scenarios="1"/>
  <mergeCells count="7">
    <mergeCell ref="F31:O31"/>
    <mergeCell ref="E10:E12"/>
    <mergeCell ref="F11:O11"/>
    <mergeCell ref="F13:O13"/>
    <mergeCell ref="F21:O21"/>
    <mergeCell ref="F27:O27"/>
    <mergeCell ref="F10:N10"/>
  </mergeCell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dimension ref="A1:P82"/>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customWidth="1"/>
    <col min="5" max="5" width="49.85546875" style="52" customWidth="1"/>
    <col min="6" max="14" width="16.7109375" style="28" customWidth="1"/>
    <col min="15" max="15" width="20.7109375" style="28" customWidth="1"/>
    <col min="16" max="16" width="2.7109375" style="28" customWidth="1"/>
    <col min="17" max="16384" width="15.7109375" style="28" hidden="1"/>
  </cols>
  <sheetData>
    <row r="1" spans="5:15" hidden="1" x14ac:dyDescent="0.25"/>
    <row r="2" spans="5:15" ht="28.5" hidden="1" customHeight="1" x14ac:dyDescent="0.25">
      <c r="E2" s="28"/>
    </row>
    <row r="3" spans="5:15" hidden="1" x14ac:dyDescent="0.25"/>
    <row r="4" spans="5:15" hidden="1" x14ac:dyDescent="0.25"/>
    <row r="5" spans="5:15" hidden="1" x14ac:dyDescent="0.25"/>
    <row r="6" spans="5:15" hidden="1" x14ac:dyDescent="0.25"/>
    <row r="7" spans="5:15" hidden="1" x14ac:dyDescent="0.25"/>
    <row r="8" spans="5:15" ht="33" hidden="1" customHeight="1" x14ac:dyDescent="0.25">
      <c r="E8" s="270"/>
    </row>
    <row r="9" spans="5:15" ht="36.950000000000003" customHeight="1" x14ac:dyDescent="0.25"/>
    <row r="10" spans="5:15" ht="20.100000000000001" customHeight="1" x14ac:dyDescent="0.25">
      <c r="E10" s="807" t="s">
        <v>1</v>
      </c>
      <c r="F10" s="806" t="s">
        <v>151</v>
      </c>
      <c r="G10" s="806"/>
      <c r="H10" s="806"/>
      <c r="I10" s="806"/>
      <c r="J10" s="806"/>
      <c r="K10" s="806"/>
      <c r="L10" s="806"/>
      <c r="M10" s="806"/>
      <c r="N10" s="806"/>
      <c r="O10" s="176" t="str">
        <f>TEXT(DATE('General Info'!$G$11,VALUE('General Info'!$E$11),'General Info'!$F$11),"MMMM DD, YYYY")</f>
        <v>September 30, 2017</v>
      </c>
    </row>
    <row r="11" spans="5:15" ht="20.100000000000001" customHeight="1" x14ac:dyDescent="0.25">
      <c r="E11" s="808"/>
      <c r="F11" s="805" t="s">
        <v>147</v>
      </c>
      <c r="G11" s="805"/>
      <c r="H11" s="805"/>
      <c r="I11" s="805"/>
      <c r="J11" s="805"/>
      <c r="K11" s="805"/>
      <c r="L11" s="805"/>
      <c r="M11" s="805"/>
      <c r="N11" s="805"/>
      <c r="O11" s="805"/>
    </row>
    <row r="12" spans="5:15" ht="20.100000000000001" customHeight="1" x14ac:dyDescent="0.25">
      <c r="E12" s="809"/>
      <c r="F12" s="84">
        <v>2017</v>
      </c>
      <c r="G12" s="84">
        <v>2016</v>
      </c>
      <c r="H12" s="85">
        <v>2015</v>
      </c>
      <c r="I12" s="85">
        <v>2014</v>
      </c>
      <c r="J12" s="85">
        <v>2013</v>
      </c>
      <c r="K12" s="84">
        <v>2012</v>
      </c>
      <c r="L12" s="84">
        <v>2011</v>
      </c>
      <c r="M12" s="84">
        <v>2010</v>
      </c>
      <c r="N12" s="84">
        <v>2009</v>
      </c>
      <c r="O12" s="576">
        <v>2008</v>
      </c>
    </row>
    <row r="13" spans="5:15" ht="20.100000000000001" customHeight="1" x14ac:dyDescent="0.25">
      <c r="E13" s="61" t="s">
        <v>152</v>
      </c>
      <c r="F13" s="740"/>
      <c r="G13" s="740"/>
      <c r="H13" s="740"/>
      <c r="I13" s="740"/>
      <c r="J13" s="740"/>
      <c r="K13" s="740"/>
      <c r="L13" s="740"/>
      <c r="M13" s="740"/>
      <c r="N13" s="740"/>
      <c r="O13" s="740"/>
    </row>
    <row r="14" spans="5:15" x14ac:dyDescent="0.25">
      <c r="E14" s="578" t="s">
        <v>1678</v>
      </c>
      <c r="F14" s="453">
        <v>125835183</v>
      </c>
      <c r="G14" s="448">
        <v>117769633</v>
      </c>
      <c r="H14" s="448">
        <v>111346882</v>
      </c>
      <c r="I14" s="448">
        <v>104775826</v>
      </c>
      <c r="J14" s="448">
        <v>100304976</v>
      </c>
      <c r="K14" s="448">
        <v>92519177</v>
      </c>
      <c r="L14" s="448">
        <v>98255072</v>
      </c>
      <c r="M14" s="448">
        <v>108354252</v>
      </c>
      <c r="N14" s="448">
        <v>119946229</v>
      </c>
      <c r="O14" s="448">
        <v>121512325</v>
      </c>
    </row>
    <row r="15" spans="5:15" x14ac:dyDescent="0.25">
      <c r="E15" s="584" t="s">
        <v>1599</v>
      </c>
      <c r="F15" s="452">
        <v>27645800</v>
      </c>
      <c r="G15" s="451">
        <v>27599020</v>
      </c>
      <c r="H15" s="451">
        <v>26774215</v>
      </c>
      <c r="I15" s="451">
        <v>27309432</v>
      </c>
      <c r="J15" s="451">
        <v>25755347</v>
      </c>
      <c r="K15" s="451">
        <v>24384936</v>
      </c>
      <c r="L15" s="451">
        <v>25400972</v>
      </c>
      <c r="M15" s="451">
        <v>26612169</v>
      </c>
      <c r="N15" s="451">
        <v>23353192</v>
      </c>
      <c r="O15" s="451">
        <v>22446269</v>
      </c>
    </row>
    <row r="16" spans="5:15" x14ac:dyDescent="0.25">
      <c r="E16" s="579" t="s">
        <v>1679</v>
      </c>
      <c r="F16" s="452">
        <v>6819973</v>
      </c>
      <c r="G16" s="451">
        <v>6668289</v>
      </c>
      <c r="H16" s="451">
        <v>5764730</v>
      </c>
      <c r="I16" s="451">
        <v>5173123</v>
      </c>
      <c r="J16" s="451">
        <v>4959026</v>
      </c>
      <c r="K16" s="451">
        <v>3847454</v>
      </c>
      <c r="L16" s="451">
        <v>3278469</v>
      </c>
      <c r="M16" s="451">
        <v>3170105</v>
      </c>
      <c r="N16" s="451">
        <v>3020012</v>
      </c>
      <c r="O16" s="451">
        <v>3104501</v>
      </c>
    </row>
    <row r="17" spans="5:15" x14ac:dyDescent="0.25">
      <c r="E17" s="579" t="s">
        <v>1680</v>
      </c>
      <c r="F17" s="452">
        <v>3589139</v>
      </c>
      <c r="G17" s="451">
        <v>3654468</v>
      </c>
      <c r="H17" s="451">
        <v>4199481</v>
      </c>
      <c r="I17" s="451">
        <v>3793324</v>
      </c>
      <c r="J17" s="451">
        <v>4411977</v>
      </c>
      <c r="K17" s="451">
        <v>4035054</v>
      </c>
      <c r="L17" s="451">
        <v>1937642</v>
      </c>
      <c r="M17" s="451">
        <v>2520494</v>
      </c>
      <c r="N17" s="451">
        <v>3395352</v>
      </c>
      <c r="O17" s="451">
        <v>3067070</v>
      </c>
    </row>
    <row r="18" spans="5:15" x14ac:dyDescent="0.25">
      <c r="E18" s="579" t="s">
        <v>1681</v>
      </c>
      <c r="F18" s="452">
        <v>26843588</v>
      </c>
      <c r="G18" s="451">
        <v>25702120</v>
      </c>
      <c r="H18" s="451">
        <v>25278000</v>
      </c>
      <c r="I18" s="451">
        <v>25267284</v>
      </c>
      <c r="J18" s="451">
        <v>24003940</v>
      </c>
      <c r="K18" s="451">
        <v>23455886</v>
      </c>
      <c r="L18" s="451">
        <v>23276204</v>
      </c>
      <c r="M18" s="451">
        <v>20135780</v>
      </c>
      <c r="N18" s="451">
        <v>33164416</v>
      </c>
      <c r="O18" s="451">
        <v>31072698</v>
      </c>
    </row>
    <row r="19" spans="5:15" x14ac:dyDescent="0.25">
      <c r="E19" s="580" t="s">
        <v>1682</v>
      </c>
      <c r="F19" s="454">
        <v>7052832</v>
      </c>
      <c r="G19" s="449">
        <v>6914592</v>
      </c>
      <c r="H19" s="449">
        <v>9384636</v>
      </c>
      <c r="I19" s="449">
        <v>9412752</v>
      </c>
      <c r="J19" s="449">
        <v>9306064</v>
      </c>
      <c r="K19" s="449">
        <v>9306012</v>
      </c>
      <c r="L19" s="449">
        <v>9403380</v>
      </c>
      <c r="M19" s="449">
        <v>8724084</v>
      </c>
      <c r="N19" s="449">
        <v>8809572</v>
      </c>
      <c r="O19" s="449">
        <v>7668000</v>
      </c>
    </row>
    <row r="20" spans="5:15" ht="20.100000000000001" customHeight="1" x14ac:dyDescent="0.25">
      <c r="E20" s="62" t="s">
        <v>328</v>
      </c>
      <c r="F20" s="740"/>
      <c r="G20" s="740"/>
      <c r="H20" s="740"/>
      <c r="I20" s="740"/>
      <c r="J20" s="740"/>
      <c r="K20" s="740"/>
      <c r="L20" s="740"/>
      <c r="M20" s="740"/>
      <c r="N20" s="740"/>
      <c r="O20" s="740"/>
    </row>
    <row r="21" spans="5:15" x14ac:dyDescent="0.25">
      <c r="E21" s="581" t="s">
        <v>1683</v>
      </c>
      <c r="F21" s="453">
        <v>11760247</v>
      </c>
      <c r="G21" s="448">
        <v>10221150</v>
      </c>
      <c r="H21" s="448">
        <v>10478002</v>
      </c>
      <c r="I21" s="448">
        <v>9780135</v>
      </c>
      <c r="J21" s="448">
        <v>11247925</v>
      </c>
      <c r="K21" s="448">
        <v>15907052</v>
      </c>
      <c r="L21" s="448">
        <v>20260984</v>
      </c>
      <c r="M21" s="448">
        <v>24311766</v>
      </c>
      <c r="N21" s="448">
        <v>16688588</v>
      </c>
      <c r="O21" s="448">
        <v>24975131</v>
      </c>
    </row>
    <row r="22" spans="5:15" x14ac:dyDescent="0.25">
      <c r="E22" s="582" t="s">
        <v>1684</v>
      </c>
      <c r="F22" s="452">
        <v>18172690</v>
      </c>
      <c r="G22" s="451">
        <v>17863512</v>
      </c>
      <c r="H22" s="451">
        <v>17092404</v>
      </c>
      <c r="I22" s="451">
        <v>16553518</v>
      </c>
      <c r="J22" s="451">
        <v>15408015</v>
      </c>
      <c r="K22" s="451">
        <v>14975121</v>
      </c>
      <c r="L22" s="451">
        <v>14347797</v>
      </c>
      <c r="M22" s="451">
        <v>13870492</v>
      </c>
      <c r="N22" s="451">
        <v>14043313</v>
      </c>
      <c r="O22" s="451">
        <v>15293018</v>
      </c>
    </row>
    <row r="23" spans="5:15" x14ac:dyDescent="0.25">
      <c r="E23" s="582" t="s">
        <v>1685</v>
      </c>
      <c r="F23" s="452">
        <v>10074186</v>
      </c>
      <c r="G23" s="451">
        <v>8940196</v>
      </c>
      <c r="H23" s="451">
        <v>9018877</v>
      </c>
      <c r="I23" s="451">
        <v>8555369</v>
      </c>
      <c r="J23" s="451">
        <v>8179856</v>
      </c>
      <c r="K23" s="451">
        <v>7521597</v>
      </c>
      <c r="L23" s="451">
        <v>7463366</v>
      </c>
      <c r="M23" s="451">
        <v>7433838</v>
      </c>
      <c r="N23" s="451">
        <v>7418031</v>
      </c>
      <c r="O23" s="451">
        <v>8397333</v>
      </c>
    </row>
    <row r="24" spans="5:15" x14ac:dyDescent="0.25">
      <c r="E24" s="586" t="s">
        <v>1600</v>
      </c>
      <c r="F24" s="452">
        <v>9620042</v>
      </c>
      <c r="G24" s="451">
        <v>9729360</v>
      </c>
      <c r="H24" s="451">
        <v>10318666</v>
      </c>
      <c r="I24" s="451">
        <v>11005466</v>
      </c>
      <c r="J24" s="451">
        <v>11493181</v>
      </c>
      <c r="K24" s="451">
        <v>11956587</v>
      </c>
      <c r="L24" s="451">
        <v>12802642</v>
      </c>
      <c r="M24" s="451">
        <v>12795240</v>
      </c>
      <c r="N24" s="451">
        <v>14085313</v>
      </c>
      <c r="O24" s="451">
        <v>16190432</v>
      </c>
    </row>
    <row r="25" spans="5:15" x14ac:dyDescent="0.25">
      <c r="E25" s="586" t="s">
        <v>1601</v>
      </c>
      <c r="F25" s="451">
        <v>0</v>
      </c>
      <c r="G25" s="451">
        <v>0</v>
      </c>
      <c r="H25" s="451">
        <v>0</v>
      </c>
      <c r="I25" s="451">
        <v>0</v>
      </c>
      <c r="J25" s="451">
        <v>0</v>
      </c>
      <c r="K25" s="451">
        <v>0</v>
      </c>
      <c r="L25" s="451">
        <v>0</v>
      </c>
      <c r="M25" s="451">
        <v>0</v>
      </c>
      <c r="N25" s="451">
        <v>2113444</v>
      </c>
      <c r="O25" s="451">
        <v>1956626</v>
      </c>
    </row>
    <row r="26" spans="5:15" x14ac:dyDescent="0.25">
      <c r="E26" s="586" t="s">
        <v>1602</v>
      </c>
      <c r="F26" s="452">
        <v>688572</v>
      </c>
      <c r="G26" s="451">
        <v>634293</v>
      </c>
      <c r="H26" s="451">
        <v>538399</v>
      </c>
      <c r="I26" s="451">
        <v>595971</v>
      </c>
      <c r="J26" s="451">
        <v>579702</v>
      </c>
      <c r="K26" s="451">
        <v>638497</v>
      </c>
      <c r="L26" s="451">
        <v>421329</v>
      </c>
      <c r="M26" s="451">
        <v>498733</v>
      </c>
      <c r="N26" s="451">
        <v>514170</v>
      </c>
      <c r="O26" s="451">
        <v>412748</v>
      </c>
    </row>
    <row r="27" spans="5:15" x14ac:dyDescent="0.25">
      <c r="E27" s="582" t="s">
        <v>1686</v>
      </c>
      <c r="F27" s="452">
        <v>3544665</v>
      </c>
      <c r="G27" s="451">
        <v>3514565</v>
      </c>
      <c r="H27" s="451">
        <v>3406675</v>
      </c>
      <c r="I27" s="451">
        <v>3382161</v>
      </c>
      <c r="J27" s="451">
        <v>3215565</v>
      </c>
      <c r="K27" s="451">
        <v>3235960</v>
      </c>
      <c r="L27" s="451">
        <v>3173633</v>
      </c>
      <c r="M27" s="451">
        <v>3274266</v>
      </c>
      <c r="N27" s="451">
        <v>3510104</v>
      </c>
      <c r="O27" s="451">
        <v>3359779</v>
      </c>
    </row>
    <row r="28" spans="5:15" x14ac:dyDescent="0.25">
      <c r="E28" s="582" t="s">
        <v>1687</v>
      </c>
      <c r="F28" s="452">
        <v>25257535</v>
      </c>
      <c r="G28" s="451">
        <v>24571993</v>
      </c>
      <c r="H28" s="451">
        <v>23435705</v>
      </c>
      <c r="I28" s="451">
        <v>21813267</v>
      </c>
      <c r="J28" s="451">
        <v>20427624</v>
      </c>
      <c r="K28" s="451">
        <v>18994866</v>
      </c>
      <c r="L28" s="451">
        <v>18185650</v>
      </c>
      <c r="M28" s="451">
        <v>18847964</v>
      </c>
      <c r="N28" s="451">
        <v>20829319</v>
      </c>
      <c r="O28" s="451">
        <v>22838462</v>
      </c>
    </row>
    <row r="29" spans="5:15" x14ac:dyDescent="0.25">
      <c r="E29" s="586" t="s">
        <v>1603</v>
      </c>
      <c r="F29" s="452">
        <v>0</v>
      </c>
      <c r="G29" s="451">
        <v>0</v>
      </c>
      <c r="H29" s="451">
        <v>7848164</v>
      </c>
      <c r="I29" s="451">
        <v>6853977</v>
      </c>
      <c r="J29" s="451">
        <v>5932587</v>
      </c>
      <c r="K29" s="451">
        <v>5864763</v>
      </c>
      <c r="L29" s="451">
        <v>4977610</v>
      </c>
      <c r="M29" s="451">
        <v>4502390</v>
      </c>
      <c r="N29" s="451">
        <v>4691881</v>
      </c>
      <c r="O29" s="451">
        <v>5068347</v>
      </c>
    </row>
    <row r="30" spans="5:15" x14ac:dyDescent="0.25">
      <c r="E30" s="582" t="s">
        <v>1689</v>
      </c>
      <c r="F30" s="452">
        <v>6223820</v>
      </c>
      <c r="G30" s="451">
        <v>5127215</v>
      </c>
      <c r="H30" s="451">
        <v>4879693</v>
      </c>
      <c r="I30" s="451">
        <v>4203175</v>
      </c>
      <c r="J30" s="451">
        <v>3575584</v>
      </c>
      <c r="K30" s="451">
        <v>3423906</v>
      </c>
      <c r="L30" s="451">
        <v>3779258</v>
      </c>
      <c r="M30" s="451">
        <v>3986213</v>
      </c>
      <c r="N30" s="451">
        <v>4535832</v>
      </c>
      <c r="O30" s="451">
        <v>4139159</v>
      </c>
    </row>
    <row r="31" spans="5:15" x14ac:dyDescent="0.25">
      <c r="E31" s="582" t="s">
        <v>1688</v>
      </c>
      <c r="F31" s="451">
        <v>0</v>
      </c>
      <c r="G31" s="451">
        <v>0</v>
      </c>
      <c r="H31" s="451">
        <v>0</v>
      </c>
      <c r="I31" s="451">
        <v>0</v>
      </c>
      <c r="J31" s="451">
        <v>0</v>
      </c>
      <c r="K31" s="451">
        <v>0</v>
      </c>
      <c r="L31" s="451">
        <v>0</v>
      </c>
      <c r="M31" s="451">
        <v>0</v>
      </c>
      <c r="N31" s="451">
        <v>0</v>
      </c>
      <c r="O31" s="452">
        <v>35017</v>
      </c>
    </row>
    <row r="32" spans="5:15" x14ac:dyDescent="0.25">
      <c r="E32" s="597" t="s">
        <v>1690</v>
      </c>
      <c r="F32" s="452">
        <v>4452578</v>
      </c>
      <c r="G32" s="452">
        <v>4750000</v>
      </c>
      <c r="H32" s="452">
        <v>0</v>
      </c>
      <c r="I32" s="452">
        <v>0</v>
      </c>
      <c r="J32" s="452">
        <v>0</v>
      </c>
      <c r="K32" s="452">
        <v>0</v>
      </c>
      <c r="L32" s="452">
        <v>0</v>
      </c>
      <c r="M32" s="452">
        <v>0</v>
      </c>
      <c r="N32" s="452">
        <v>0</v>
      </c>
      <c r="O32" s="452">
        <v>0</v>
      </c>
    </row>
    <row r="33" spans="5:15" ht="20.100000000000001" customHeight="1" x14ac:dyDescent="0.25">
      <c r="E33" s="554" t="s">
        <v>1691</v>
      </c>
      <c r="F33" s="15">
        <f>IF(COUNT(F21:F32),SUM(F21:F32),"")</f>
        <v>89794335</v>
      </c>
      <c r="G33" s="15">
        <f t="shared" ref="G33:O33" si="0">IF(COUNT(G21:G32),SUM(G21:G32),"")</f>
        <v>85352284</v>
      </c>
      <c r="H33" s="15">
        <f t="shared" si="0"/>
        <v>87016585</v>
      </c>
      <c r="I33" s="15">
        <f t="shared" si="0"/>
        <v>82743039</v>
      </c>
      <c r="J33" s="15">
        <f t="shared" si="0"/>
        <v>80060039</v>
      </c>
      <c r="K33" s="15">
        <f t="shared" si="0"/>
        <v>82518349</v>
      </c>
      <c r="L33" s="15">
        <f t="shared" si="0"/>
        <v>85412269</v>
      </c>
      <c r="M33" s="15">
        <f t="shared" si="0"/>
        <v>89520902</v>
      </c>
      <c r="N33" s="15">
        <f t="shared" si="0"/>
        <v>88429995</v>
      </c>
      <c r="O33" s="15">
        <f t="shared" si="0"/>
        <v>102666052</v>
      </c>
    </row>
    <row r="34" spans="5:15" ht="20.100000000000001" customHeight="1" x14ac:dyDescent="0.25">
      <c r="E34" s="62" t="s">
        <v>22</v>
      </c>
      <c r="F34" s="740"/>
      <c r="G34" s="740"/>
      <c r="H34" s="740"/>
      <c r="I34" s="740"/>
      <c r="J34" s="740"/>
      <c r="K34" s="740"/>
      <c r="L34" s="740"/>
      <c r="M34" s="740"/>
      <c r="N34" s="740"/>
      <c r="O34" s="740"/>
    </row>
    <row r="35" spans="5:15" x14ac:dyDescent="0.25">
      <c r="E35" s="581" t="s">
        <v>1692</v>
      </c>
      <c r="F35" s="453">
        <v>4738478</v>
      </c>
      <c r="G35" s="448">
        <v>6095818</v>
      </c>
      <c r="H35" s="448">
        <v>3769083</v>
      </c>
      <c r="I35" s="448">
        <v>5196708</v>
      </c>
      <c r="J35" s="448">
        <v>2304239</v>
      </c>
      <c r="K35" s="448">
        <v>4834660</v>
      </c>
      <c r="L35" s="448">
        <v>1379053</v>
      </c>
      <c r="M35" s="448">
        <v>5342106</v>
      </c>
      <c r="N35" s="448">
        <v>6849689</v>
      </c>
      <c r="O35" s="448">
        <v>2229862</v>
      </c>
    </row>
    <row r="36" spans="5:15" x14ac:dyDescent="0.25">
      <c r="E36" s="586" t="s">
        <v>1604</v>
      </c>
      <c r="F36" s="451">
        <v>0</v>
      </c>
      <c r="G36" s="451">
        <v>0</v>
      </c>
      <c r="H36" s="451">
        <v>0</v>
      </c>
      <c r="I36" s="451">
        <v>0</v>
      </c>
      <c r="J36" s="451">
        <v>0</v>
      </c>
      <c r="K36" s="451">
        <v>0</v>
      </c>
      <c r="L36" s="451">
        <v>0</v>
      </c>
      <c r="M36" s="451">
        <v>0</v>
      </c>
      <c r="N36" s="451">
        <v>0</v>
      </c>
      <c r="O36" s="451">
        <v>0</v>
      </c>
    </row>
    <row r="37" spans="5:15" x14ac:dyDescent="0.25">
      <c r="E37" s="586" t="s">
        <v>1605</v>
      </c>
      <c r="F37" s="451">
        <v>0</v>
      </c>
      <c r="G37" s="451">
        <v>0</v>
      </c>
      <c r="H37" s="451">
        <v>0</v>
      </c>
      <c r="I37" s="451">
        <v>0</v>
      </c>
      <c r="J37" s="451">
        <v>0</v>
      </c>
      <c r="K37" s="451">
        <v>0</v>
      </c>
      <c r="L37" s="451">
        <v>0</v>
      </c>
      <c r="M37" s="451">
        <v>0</v>
      </c>
      <c r="N37" s="451">
        <v>0</v>
      </c>
      <c r="O37" s="451">
        <v>1690777</v>
      </c>
    </row>
    <row r="38" spans="5:15" x14ac:dyDescent="0.25">
      <c r="E38" s="586" t="s">
        <v>1606</v>
      </c>
      <c r="F38" s="451">
        <v>0</v>
      </c>
      <c r="G38" s="451">
        <v>0</v>
      </c>
      <c r="H38" s="451">
        <v>0</v>
      </c>
      <c r="I38" s="451">
        <v>0</v>
      </c>
      <c r="J38" s="451">
        <v>0</v>
      </c>
      <c r="K38" s="451">
        <v>0</v>
      </c>
      <c r="L38" s="451">
        <v>0</v>
      </c>
      <c r="M38" s="451">
        <v>0</v>
      </c>
      <c r="N38" s="451">
        <v>0</v>
      </c>
      <c r="O38" s="451">
        <v>-5082715</v>
      </c>
    </row>
    <row r="39" spans="5:15" x14ac:dyDescent="0.25">
      <c r="E39" s="586" t="s">
        <v>1607</v>
      </c>
      <c r="F39" s="451">
        <v>0</v>
      </c>
      <c r="G39" s="451">
        <v>0</v>
      </c>
      <c r="H39" s="451">
        <v>0</v>
      </c>
      <c r="I39" s="451">
        <v>0</v>
      </c>
      <c r="J39" s="451">
        <v>0</v>
      </c>
      <c r="K39" s="451">
        <v>0</v>
      </c>
      <c r="L39" s="451">
        <v>0</v>
      </c>
      <c r="M39" s="451">
        <v>0</v>
      </c>
      <c r="N39" s="451">
        <v>0</v>
      </c>
      <c r="O39" s="451">
        <v>26393</v>
      </c>
    </row>
    <row r="40" spans="5:15" x14ac:dyDescent="0.25">
      <c r="E40" s="582" t="s">
        <v>1693</v>
      </c>
      <c r="F40" s="452">
        <v>800935</v>
      </c>
      <c r="G40" s="451">
        <v>649838</v>
      </c>
      <c r="H40" s="451">
        <v>614453</v>
      </c>
      <c r="I40" s="451">
        <v>526352</v>
      </c>
      <c r="J40" s="451">
        <v>432751</v>
      </c>
      <c r="K40" s="451">
        <v>411250</v>
      </c>
      <c r="L40" s="451">
        <v>400759</v>
      </c>
      <c r="M40" s="451">
        <v>358830</v>
      </c>
      <c r="N40" s="451">
        <v>2920852</v>
      </c>
      <c r="O40" s="451">
        <v>3064408</v>
      </c>
    </row>
    <row r="41" spans="5:15" ht="20.100000000000001" customHeight="1" x14ac:dyDescent="0.25">
      <c r="E41" s="554" t="s">
        <v>1694</v>
      </c>
      <c r="F41" s="15">
        <f>IF(COUNT(F35:F40),SUM(F35:F40),"")</f>
        <v>5539413</v>
      </c>
      <c r="G41" s="15">
        <f t="shared" ref="G41:O41" si="1">IF(COUNT(G35:G40),SUM(G35:G40),"")</f>
        <v>6745656</v>
      </c>
      <c r="H41" s="15">
        <f t="shared" si="1"/>
        <v>4383536</v>
      </c>
      <c r="I41" s="15">
        <f t="shared" si="1"/>
        <v>5723060</v>
      </c>
      <c r="J41" s="15">
        <f t="shared" si="1"/>
        <v>2736990</v>
      </c>
      <c r="K41" s="15">
        <f t="shared" si="1"/>
        <v>5245910</v>
      </c>
      <c r="L41" s="15">
        <f t="shared" si="1"/>
        <v>1779812</v>
      </c>
      <c r="M41" s="15">
        <f t="shared" si="1"/>
        <v>5700936</v>
      </c>
      <c r="N41" s="15">
        <f t="shared" si="1"/>
        <v>9770541</v>
      </c>
      <c r="O41" s="15">
        <f t="shared" si="1"/>
        <v>1928725</v>
      </c>
    </row>
    <row r="42" spans="5:15" ht="20.100000000000001" customHeight="1" x14ac:dyDescent="0.25">
      <c r="E42" s="62" t="s">
        <v>25</v>
      </c>
      <c r="F42" s="740"/>
      <c r="G42" s="740"/>
      <c r="H42" s="740"/>
      <c r="I42" s="740"/>
      <c r="J42" s="740"/>
      <c r="K42" s="740"/>
      <c r="L42" s="740"/>
      <c r="M42" s="740"/>
      <c r="N42" s="740"/>
      <c r="O42" s="740"/>
    </row>
    <row r="43" spans="5:15" x14ac:dyDescent="0.25">
      <c r="E43" s="581" t="s">
        <v>1695</v>
      </c>
      <c r="F43" s="453">
        <v>741131</v>
      </c>
      <c r="G43" s="448">
        <v>358851</v>
      </c>
      <c r="H43" s="448">
        <v>386981</v>
      </c>
      <c r="I43" s="448">
        <v>381858</v>
      </c>
      <c r="J43" s="448">
        <v>509020</v>
      </c>
      <c r="K43" s="448">
        <v>477021</v>
      </c>
      <c r="L43" s="448">
        <v>573839</v>
      </c>
      <c r="M43" s="448">
        <v>410630</v>
      </c>
      <c r="N43" s="448">
        <v>637117</v>
      </c>
      <c r="O43" s="448">
        <v>638606</v>
      </c>
    </row>
    <row r="44" spans="5:15" x14ac:dyDescent="0.25">
      <c r="E44" s="582" t="s">
        <v>1696</v>
      </c>
      <c r="F44" s="452">
        <v>927588</v>
      </c>
      <c r="G44" s="451">
        <v>1109677</v>
      </c>
      <c r="H44" s="451">
        <v>465516</v>
      </c>
      <c r="I44" s="451">
        <v>1999997</v>
      </c>
      <c r="J44" s="451">
        <v>1059024</v>
      </c>
      <c r="K44" s="451">
        <v>605383</v>
      </c>
      <c r="L44" s="451">
        <v>500686</v>
      </c>
      <c r="M44" s="451">
        <v>615887</v>
      </c>
      <c r="N44" s="451">
        <v>190434</v>
      </c>
      <c r="O44" s="451">
        <v>347144</v>
      </c>
    </row>
    <row r="45" spans="5:15" x14ac:dyDescent="0.25">
      <c r="E45" s="582" t="s">
        <v>1697</v>
      </c>
      <c r="F45" s="452">
        <v>184281</v>
      </c>
      <c r="G45" s="451">
        <v>695909</v>
      </c>
      <c r="H45" s="451">
        <v>747008</v>
      </c>
      <c r="I45" s="451">
        <v>920034</v>
      </c>
      <c r="J45" s="451">
        <v>815902</v>
      </c>
      <c r="K45" s="451">
        <v>502051</v>
      </c>
      <c r="L45" s="451">
        <v>994221</v>
      </c>
      <c r="M45" s="451">
        <v>184054</v>
      </c>
      <c r="N45" s="451">
        <v>193110</v>
      </c>
      <c r="O45" s="451">
        <v>349319</v>
      </c>
    </row>
    <row r="46" spans="5:15" x14ac:dyDescent="0.25">
      <c r="E46" s="582" t="s">
        <v>1698</v>
      </c>
      <c r="F46" s="452">
        <v>13389</v>
      </c>
      <c r="G46" s="451">
        <v>0</v>
      </c>
      <c r="H46" s="451">
        <v>8000000</v>
      </c>
      <c r="I46" s="451">
        <v>0</v>
      </c>
      <c r="J46" s="451">
        <v>3997159</v>
      </c>
      <c r="K46" s="451">
        <v>0</v>
      </c>
      <c r="L46" s="451">
        <v>0</v>
      </c>
      <c r="M46" s="451">
        <v>0</v>
      </c>
      <c r="N46" s="451">
        <v>0</v>
      </c>
      <c r="O46" s="451">
        <v>0</v>
      </c>
    </row>
    <row r="47" spans="5:15" x14ac:dyDescent="0.25">
      <c r="E47" s="586" t="s">
        <v>1608</v>
      </c>
      <c r="F47" s="452">
        <v>1410821</v>
      </c>
      <c r="G47" s="451">
        <v>1545699</v>
      </c>
      <c r="H47" s="451">
        <v>1249277</v>
      </c>
      <c r="I47" s="451">
        <v>1416031</v>
      </c>
      <c r="J47" s="451">
        <v>3015734</v>
      </c>
      <c r="K47" s="451">
        <v>1108970</v>
      </c>
      <c r="L47" s="451">
        <v>1007961</v>
      </c>
      <c r="M47" s="451">
        <v>1284992</v>
      </c>
      <c r="N47" s="451">
        <v>1763629</v>
      </c>
      <c r="O47" s="451">
        <v>2523788</v>
      </c>
    </row>
    <row r="48" spans="5:15" ht="20.100000000000001" customHeight="1" x14ac:dyDescent="0.25">
      <c r="E48" s="554" t="s">
        <v>1699</v>
      </c>
      <c r="F48" s="15">
        <f>IF(COUNT(F43:F47),SUM(F43:F47),"")</f>
        <v>3277210</v>
      </c>
      <c r="G48" s="15">
        <f t="shared" ref="G48:O48" si="2">IF(COUNT(G43:G47),SUM(G43:G47),"")</f>
        <v>3710136</v>
      </c>
      <c r="H48" s="15">
        <f t="shared" si="2"/>
        <v>10848782</v>
      </c>
      <c r="I48" s="15">
        <f t="shared" si="2"/>
        <v>4717920</v>
      </c>
      <c r="J48" s="15">
        <f t="shared" si="2"/>
        <v>9396839</v>
      </c>
      <c r="K48" s="15">
        <f t="shared" si="2"/>
        <v>2693425</v>
      </c>
      <c r="L48" s="15">
        <f t="shared" si="2"/>
        <v>3076707</v>
      </c>
      <c r="M48" s="15">
        <f t="shared" si="2"/>
        <v>2495563</v>
      </c>
      <c r="N48" s="15">
        <f t="shared" si="2"/>
        <v>2784290</v>
      </c>
      <c r="O48" s="15">
        <f t="shared" si="2"/>
        <v>3858857</v>
      </c>
    </row>
    <row r="49" spans="5:15" ht="20.100000000000001" customHeight="1" x14ac:dyDescent="0.25">
      <c r="E49" s="554" t="s">
        <v>1700</v>
      </c>
      <c r="F49" s="15">
        <f>IF(COUNT(F14:F19,F33,F41,F48),SUM(F14:F19)+SUM(F33)+SUM(F41)+SUM(F48),"")</f>
        <v>296397473</v>
      </c>
      <c r="G49" s="15">
        <f>IF(COUNT(G14:G19,G33,G41,G48),SUM(G14:G19)+SUM(G33)+SUM(G41)+SUM(G48),"")</f>
        <v>284116198</v>
      </c>
      <c r="H49" s="15">
        <f t="shared" ref="H49:O49" si="3">IF(COUNT(H14:H19,H33,H41,H48),SUM(H14:H19)+SUM(H33)+SUM(H41)+SUM(H48),"")</f>
        <v>284996847</v>
      </c>
      <c r="I49" s="15">
        <f t="shared" si="3"/>
        <v>268915760</v>
      </c>
      <c r="J49" s="15">
        <f t="shared" si="3"/>
        <v>260935198</v>
      </c>
      <c r="K49" s="15">
        <f t="shared" si="3"/>
        <v>248006203</v>
      </c>
      <c r="L49" s="15">
        <f t="shared" si="3"/>
        <v>251820527</v>
      </c>
      <c r="M49" s="15">
        <f t="shared" si="3"/>
        <v>267234285</v>
      </c>
      <c r="N49" s="15">
        <f t="shared" si="3"/>
        <v>292673599</v>
      </c>
      <c r="O49" s="15">
        <f t="shared" si="3"/>
        <v>297324497</v>
      </c>
    </row>
    <row r="50" spans="5:15" ht="20.100000000000001" customHeight="1" x14ac:dyDescent="0.25">
      <c r="E50" s="2" t="s">
        <v>32</v>
      </c>
      <c r="F50" s="698"/>
      <c r="G50" s="698"/>
      <c r="H50" s="698"/>
      <c r="I50" s="698"/>
      <c r="J50" s="698"/>
      <c r="K50" s="698"/>
      <c r="L50" s="698"/>
      <c r="M50" s="698"/>
      <c r="N50" s="698"/>
      <c r="O50" s="698"/>
    </row>
    <row r="51" spans="5:15" ht="20.100000000000001" customHeight="1" x14ac:dyDescent="0.25">
      <c r="E51" s="62" t="s">
        <v>532</v>
      </c>
      <c r="F51" s="740"/>
      <c r="G51" s="740"/>
      <c r="H51" s="740"/>
      <c r="I51" s="740"/>
      <c r="J51" s="740"/>
      <c r="K51" s="740"/>
      <c r="L51" s="740"/>
      <c r="M51" s="740"/>
      <c r="N51" s="740"/>
      <c r="O51" s="740"/>
    </row>
    <row r="52" spans="5:15" x14ac:dyDescent="0.25">
      <c r="E52" s="604" t="s">
        <v>1701</v>
      </c>
      <c r="F52" s="461">
        <v>23268099</v>
      </c>
      <c r="G52" s="441">
        <v>21473235</v>
      </c>
      <c r="H52" s="441">
        <v>23154373</v>
      </c>
      <c r="I52" s="441">
        <v>16058051</v>
      </c>
      <c r="J52" s="441">
        <v>13880892</v>
      </c>
      <c r="K52" s="441">
        <v>14672753</v>
      </c>
      <c r="L52" s="441">
        <v>15415127</v>
      </c>
      <c r="M52" s="441">
        <v>25080033</v>
      </c>
      <c r="N52" s="441">
        <v>26426476</v>
      </c>
      <c r="O52" s="441">
        <v>25084845</v>
      </c>
    </row>
    <row r="53" spans="5:15" x14ac:dyDescent="0.25">
      <c r="E53" s="605" t="s">
        <v>1702</v>
      </c>
      <c r="F53" s="459">
        <v>17384870</v>
      </c>
      <c r="G53" s="443">
        <v>14039942</v>
      </c>
      <c r="H53" s="443">
        <v>14912692</v>
      </c>
      <c r="I53" s="443">
        <v>17292165</v>
      </c>
      <c r="J53" s="443">
        <v>14464853</v>
      </c>
      <c r="K53" s="443">
        <v>15026177</v>
      </c>
      <c r="L53" s="443">
        <v>17999906</v>
      </c>
      <c r="M53" s="443">
        <v>28008570</v>
      </c>
      <c r="N53" s="443">
        <v>24238780</v>
      </c>
      <c r="O53" s="443">
        <v>22973120</v>
      </c>
    </row>
    <row r="54" spans="5:15" x14ac:dyDescent="0.25">
      <c r="E54" s="606" t="s">
        <v>1703</v>
      </c>
      <c r="F54" s="460">
        <v>11036522</v>
      </c>
      <c r="G54" s="447">
        <v>10683589</v>
      </c>
      <c r="H54" s="447">
        <v>10145310</v>
      </c>
      <c r="I54" s="447">
        <v>11078333</v>
      </c>
      <c r="J54" s="447">
        <v>28938443</v>
      </c>
      <c r="K54" s="447">
        <v>22168371</v>
      </c>
      <c r="L54" s="447">
        <v>21731956</v>
      </c>
      <c r="M54" s="447">
        <v>7796719</v>
      </c>
      <c r="N54" s="447">
        <v>11028172</v>
      </c>
      <c r="O54" s="447">
        <v>13548520</v>
      </c>
    </row>
    <row r="55" spans="5:15" ht="20.100000000000001" customHeight="1" x14ac:dyDescent="0.25">
      <c r="E55" s="62" t="s">
        <v>153</v>
      </c>
      <c r="F55" s="810"/>
      <c r="G55" s="811"/>
      <c r="H55" s="811"/>
      <c r="I55" s="811"/>
      <c r="J55" s="811"/>
      <c r="K55" s="811"/>
      <c r="L55" s="811"/>
      <c r="M55" s="811"/>
      <c r="N55" s="811"/>
      <c r="O55" s="812"/>
    </row>
    <row r="56" spans="5:15" x14ac:dyDescent="0.25">
      <c r="E56" s="607" t="s">
        <v>1704</v>
      </c>
      <c r="F56" s="458">
        <v>105528893</v>
      </c>
      <c r="G56" s="446">
        <v>99772940</v>
      </c>
      <c r="H56" s="446">
        <v>93640691</v>
      </c>
      <c r="I56" s="446">
        <v>90914374</v>
      </c>
      <c r="J56" s="446">
        <v>91234377</v>
      </c>
      <c r="K56" s="446">
        <v>88866403</v>
      </c>
      <c r="L56" s="446">
        <v>88392589</v>
      </c>
      <c r="M56" s="446">
        <v>86082228</v>
      </c>
      <c r="N56" s="446">
        <v>85362695</v>
      </c>
      <c r="O56" s="446">
        <v>86025521</v>
      </c>
    </row>
    <row r="57" spans="5:15" x14ac:dyDescent="0.25">
      <c r="E57" s="606" t="s">
        <v>1705</v>
      </c>
      <c r="F57" s="460">
        <v>44323468</v>
      </c>
      <c r="G57" s="447">
        <v>44341874</v>
      </c>
      <c r="H57" s="447">
        <v>44480137</v>
      </c>
      <c r="I57" s="447">
        <v>44942714</v>
      </c>
      <c r="J57" s="447">
        <v>44329900</v>
      </c>
      <c r="K57" s="447">
        <v>44246454</v>
      </c>
      <c r="L57" s="447">
        <v>44445246</v>
      </c>
      <c r="M57" s="447">
        <v>44496378</v>
      </c>
      <c r="N57" s="447">
        <v>44734932</v>
      </c>
      <c r="O57" s="447">
        <v>44336345</v>
      </c>
    </row>
    <row r="58" spans="5:15" ht="20.100000000000001" customHeight="1" x14ac:dyDescent="0.25">
      <c r="E58" s="79" t="s">
        <v>154</v>
      </c>
      <c r="F58" s="15">
        <f>+IF(COUNT(F56:F57),SUM(F56:F57),"")</f>
        <v>149852361</v>
      </c>
      <c r="G58" s="15">
        <f t="shared" ref="G58:O58" si="4">+IF(COUNT(G56:G57),SUM(G56:G57),"")</f>
        <v>144114814</v>
      </c>
      <c r="H58" s="15">
        <f t="shared" si="4"/>
        <v>138120828</v>
      </c>
      <c r="I58" s="15">
        <f t="shared" si="4"/>
        <v>135857088</v>
      </c>
      <c r="J58" s="15">
        <f t="shared" si="4"/>
        <v>135564277</v>
      </c>
      <c r="K58" s="15">
        <f t="shared" si="4"/>
        <v>133112857</v>
      </c>
      <c r="L58" s="15">
        <f t="shared" si="4"/>
        <v>132837835</v>
      </c>
      <c r="M58" s="15">
        <f t="shared" si="4"/>
        <v>130578606</v>
      </c>
      <c r="N58" s="15">
        <f t="shared" si="4"/>
        <v>130097627</v>
      </c>
      <c r="O58" s="15">
        <f t="shared" si="4"/>
        <v>130361866</v>
      </c>
    </row>
    <row r="59" spans="5:15" x14ac:dyDescent="0.25">
      <c r="E59" s="608" t="s">
        <v>1706</v>
      </c>
      <c r="F59" s="474">
        <v>48398807</v>
      </c>
      <c r="G59" s="475">
        <v>46813999</v>
      </c>
      <c r="H59" s="475">
        <v>44185356</v>
      </c>
      <c r="I59" s="475">
        <v>44713043</v>
      </c>
      <c r="J59" s="475">
        <v>44580867</v>
      </c>
      <c r="K59" s="475">
        <v>42767519</v>
      </c>
      <c r="L59" s="475">
        <v>48102411</v>
      </c>
      <c r="M59" s="475">
        <v>37137303</v>
      </c>
      <c r="N59" s="475">
        <v>48138462</v>
      </c>
      <c r="O59" s="475">
        <v>47854805</v>
      </c>
    </row>
    <row r="60" spans="5:15" ht="20.100000000000001" customHeight="1" x14ac:dyDescent="0.25">
      <c r="E60" s="2" t="s">
        <v>1605</v>
      </c>
      <c r="F60" s="670"/>
      <c r="G60" s="671"/>
      <c r="H60" s="671"/>
      <c r="I60" s="671"/>
      <c r="J60" s="671"/>
      <c r="K60" s="671"/>
      <c r="L60" s="671"/>
      <c r="M60" s="671"/>
      <c r="N60" s="671"/>
      <c r="O60" s="672"/>
    </row>
    <row r="61" spans="5:15" x14ac:dyDescent="0.25">
      <c r="E61" s="594" t="s">
        <v>1707</v>
      </c>
      <c r="F61" s="561">
        <v>0</v>
      </c>
      <c r="G61" s="561">
        <v>0</v>
      </c>
      <c r="H61" s="561">
        <v>0</v>
      </c>
      <c r="I61" s="561">
        <v>0</v>
      </c>
      <c r="J61" s="561">
        <v>0</v>
      </c>
      <c r="K61" s="561">
        <v>0</v>
      </c>
      <c r="L61" s="561">
        <v>0</v>
      </c>
      <c r="M61" s="561">
        <v>0</v>
      </c>
      <c r="N61" s="561">
        <v>0</v>
      </c>
      <c r="O61" s="561">
        <v>1547237</v>
      </c>
    </row>
    <row r="62" spans="5:15" x14ac:dyDescent="0.25">
      <c r="E62" s="593" t="s">
        <v>1609</v>
      </c>
      <c r="F62" s="561">
        <v>0</v>
      </c>
      <c r="G62" s="561">
        <v>0</v>
      </c>
      <c r="H62" s="561">
        <v>0</v>
      </c>
      <c r="I62" s="561">
        <v>0</v>
      </c>
      <c r="J62" s="561">
        <v>0</v>
      </c>
      <c r="K62" s="561">
        <v>0</v>
      </c>
      <c r="L62" s="561">
        <v>0</v>
      </c>
      <c r="M62" s="561">
        <v>0</v>
      </c>
      <c r="N62" s="561">
        <v>0</v>
      </c>
      <c r="O62" s="565">
        <v>52156</v>
      </c>
    </row>
    <row r="63" spans="5:15" ht="20.100000000000001" customHeight="1" x14ac:dyDescent="0.25">
      <c r="E63" s="79" t="s">
        <v>1610</v>
      </c>
      <c r="F63" s="15">
        <f>+IF(COUNT(F61:F62),SUM(F61:F62),"")</f>
        <v>0</v>
      </c>
      <c r="G63" s="15">
        <f t="shared" ref="G63:O63" si="5">+IF(COUNT(G61:G62),SUM(G61:G62),"")</f>
        <v>0</v>
      </c>
      <c r="H63" s="15">
        <f t="shared" si="5"/>
        <v>0</v>
      </c>
      <c r="I63" s="15">
        <f t="shared" si="5"/>
        <v>0</v>
      </c>
      <c r="J63" s="15">
        <f t="shared" si="5"/>
        <v>0</v>
      </c>
      <c r="K63" s="15">
        <f t="shared" si="5"/>
        <v>0</v>
      </c>
      <c r="L63" s="15">
        <f t="shared" si="5"/>
        <v>0</v>
      </c>
      <c r="M63" s="15">
        <f t="shared" si="5"/>
        <v>0</v>
      </c>
      <c r="N63" s="15">
        <f t="shared" si="5"/>
        <v>0</v>
      </c>
      <c r="O63" s="15">
        <f t="shared" si="5"/>
        <v>1599393</v>
      </c>
    </row>
    <row r="64" spans="5:15" ht="20.100000000000001" customHeight="1" x14ac:dyDescent="0.25">
      <c r="E64" s="2" t="s">
        <v>190</v>
      </c>
      <c r="F64" s="698"/>
      <c r="G64" s="698"/>
      <c r="H64" s="698"/>
      <c r="I64" s="698"/>
      <c r="J64" s="698"/>
      <c r="K64" s="698"/>
      <c r="L64" s="698"/>
      <c r="M64" s="698"/>
      <c r="N64" s="698"/>
      <c r="O64" s="698"/>
    </row>
    <row r="65" spans="5:15" x14ac:dyDescent="0.25">
      <c r="E65" s="591" t="s">
        <v>1611</v>
      </c>
      <c r="F65" s="560">
        <v>5242000</v>
      </c>
      <c r="G65" s="561">
        <v>14176000</v>
      </c>
      <c r="H65" s="561">
        <v>14070000</v>
      </c>
      <c r="I65" s="561">
        <v>31853000</v>
      </c>
      <c r="J65" s="561">
        <v>11938000</v>
      </c>
      <c r="K65" s="561">
        <v>38675000</v>
      </c>
      <c r="L65" s="561">
        <v>15831000</v>
      </c>
      <c r="M65" s="561">
        <v>17766000</v>
      </c>
      <c r="N65" s="561">
        <v>18396000</v>
      </c>
      <c r="O65" s="561">
        <v>46015000</v>
      </c>
    </row>
    <row r="66" spans="5:15" x14ac:dyDescent="0.25">
      <c r="E66" s="592" t="s">
        <v>1612</v>
      </c>
      <c r="F66" s="562">
        <v>2692537</v>
      </c>
      <c r="G66" s="563">
        <v>1087111</v>
      </c>
      <c r="H66" s="563">
        <v>1543967</v>
      </c>
      <c r="I66" s="563">
        <v>2968306</v>
      </c>
      <c r="J66" s="563">
        <v>3220917</v>
      </c>
      <c r="K66" s="563">
        <v>4066808</v>
      </c>
      <c r="L66" s="563">
        <v>5078422</v>
      </c>
      <c r="M66" s="563">
        <v>5908465</v>
      </c>
      <c r="N66" s="563">
        <v>6581709</v>
      </c>
      <c r="O66" s="563">
        <v>7084571</v>
      </c>
    </row>
    <row r="67" spans="5:15" x14ac:dyDescent="0.25">
      <c r="E67" s="592" t="s">
        <v>1613</v>
      </c>
      <c r="F67" s="562">
        <v>148888</v>
      </c>
      <c r="G67" s="563">
        <v>618555</v>
      </c>
      <c r="H67" s="563">
        <v>9530</v>
      </c>
      <c r="I67" s="563">
        <v>56059</v>
      </c>
      <c r="J67" s="563">
        <v>10184</v>
      </c>
      <c r="K67" s="563">
        <v>62259</v>
      </c>
      <c r="L67" s="563">
        <v>49478</v>
      </c>
      <c r="M67" s="563">
        <v>9792</v>
      </c>
      <c r="N67" s="563">
        <v>18610</v>
      </c>
      <c r="O67" s="563">
        <v>72269</v>
      </c>
    </row>
    <row r="68" spans="5:15" x14ac:dyDescent="0.25">
      <c r="E68" s="593" t="s">
        <v>1614</v>
      </c>
      <c r="F68" s="565">
        <v>0</v>
      </c>
      <c r="G68" s="565">
        <v>0</v>
      </c>
      <c r="H68" s="565">
        <v>0</v>
      </c>
      <c r="I68" s="565">
        <v>0</v>
      </c>
      <c r="J68" s="565">
        <v>0</v>
      </c>
      <c r="K68" s="565">
        <v>0</v>
      </c>
      <c r="L68" s="565">
        <v>0</v>
      </c>
      <c r="M68" s="565">
        <v>0</v>
      </c>
      <c r="N68" s="565">
        <v>0</v>
      </c>
      <c r="O68" s="565">
        <v>45123</v>
      </c>
    </row>
    <row r="69" spans="5:15" ht="20.100000000000001" customHeight="1" x14ac:dyDescent="0.25">
      <c r="E69" s="554" t="s">
        <v>1708</v>
      </c>
      <c r="F69" s="15">
        <f>+IF(COUNT(F65:F68),SUM(F65:F68),"")</f>
        <v>8083425</v>
      </c>
      <c r="G69" s="15">
        <f t="shared" ref="G69:O69" si="6">+IF(COUNT(G65:G68),SUM(G65:G68),"")</f>
        <v>15881666</v>
      </c>
      <c r="H69" s="15">
        <f t="shared" si="6"/>
        <v>15623497</v>
      </c>
      <c r="I69" s="15">
        <f t="shared" si="6"/>
        <v>34877365</v>
      </c>
      <c r="J69" s="15">
        <f t="shared" si="6"/>
        <v>15169101</v>
      </c>
      <c r="K69" s="15">
        <f t="shared" si="6"/>
        <v>42804067</v>
      </c>
      <c r="L69" s="15">
        <f t="shared" si="6"/>
        <v>20958900</v>
      </c>
      <c r="M69" s="15">
        <f t="shared" si="6"/>
        <v>23684257</v>
      </c>
      <c r="N69" s="15">
        <f t="shared" si="6"/>
        <v>24996319</v>
      </c>
      <c r="O69" s="15">
        <f t="shared" si="6"/>
        <v>53216963</v>
      </c>
    </row>
    <row r="70" spans="5:15" x14ac:dyDescent="0.25">
      <c r="E70" s="598" t="s">
        <v>1615</v>
      </c>
      <c r="F70" s="474">
        <v>45663755</v>
      </c>
      <c r="G70" s="475">
        <v>38229051</v>
      </c>
      <c r="H70" s="475">
        <v>38242445</v>
      </c>
      <c r="I70" s="475">
        <v>26713335</v>
      </c>
      <c r="J70" s="475">
        <v>9723610</v>
      </c>
      <c r="K70" s="475">
        <v>18980589</v>
      </c>
      <c r="L70" s="475">
        <v>25123339</v>
      </c>
      <c r="M70" s="475">
        <v>33543128</v>
      </c>
      <c r="N70" s="475">
        <v>39466363</v>
      </c>
      <c r="O70" s="475">
        <v>42092824</v>
      </c>
    </row>
    <row r="71" spans="5:15" ht="20.100000000000001" customHeight="1" x14ac:dyDescent="0.25">
      <c r="E71" s="554" t="s">
        <v>1709</v>
      </c>
      <c r="F71" s="15">
        <f>IF(COUNT(F52:F54,F58:F59,F63,F69:F70),SUM(F52:F54,F58:F59,F63,F69:F70),"")</f>
        <v>303687839</v>
      </c>
      <c r="G71" s="15">
        <f t="shared" ref="G71:O71" si="7">IF(COUNT(G52:G54,G58:G59,G63,G69:G70),SUM(G52:G54,G58:G59,G63,G69:G70),"")</f>
        <v>291236296</v>
      </c>
      <c r="H71" s="15">
        <f t="shared" si="7"/>
        <v>284384501</v>
      </c>
      <c r="I71" s="15">
        <f t="shared" si="7"/>
        <v>286589380</v>
      </c>
      <c r="J71" s="15">
        <f t="shared" si="7"/>
        <v>262322043</v>
      </c>
      <c r="K71" s="15">
        <f t="shared" si="7"/>
        <v>289532333</v>
      </c>
      <c r="L71" s="15">
        <f t="shared" si="7"/>
        <v>282169474</v>
      </c>
      <c r="M71" s="15">
        <f t="shared" si="7"/>
        <v>285828616</v>
      </c>
      <c r="N71" s="15">
        <f t="shared" si="7"/>
        <v>304392199</v>
      </c>
      <c r="O71" s="15">
        <f t="shared" si="7"/>
        <v>336732336</v>
      </c>
    </row>
    <row r="72" spans="5:15" ht="20.100000000000001" customHeight="1" x14ac:dyDescent="0.25">
      <c r="E72" s="554" t="s">
        <v>1710</v>
      </c>
      <c r="F72" s="15">
        <f>IF(COUNT(F49,F71),SUM(F49)-SUM(F71),"")</f>
        <v>-7290366</v>
      </c>
      <c r="G72" s="15">
        <f t="shared" ref="G72:O72" si="8">IF(COUNT(G49,G71),SUM(G49)-SUM(G71),"")</f>
        <v>-7120098</v>
      </c>
      <c r="H72" s="15">
        <f t="shared" si="8"/>
        <v>612346</v>
      </c>
      <c r="I72" s="15">
        <f t="shared" si="8"/>
        <v>-17673620</v>
      </c>
      <c r="J72" s="15">
        <f t="shared" si="8"/>
        <v>-1386845</v>
      </c>
      <c r="K72" s="15">
        <f t="shared" si="8"/>
        <v>-41526130</v>
      </c>
      <c r="L72" s="15">
        <f t="shared" si="8"/>
        <v>-30348947</v>
      </c>
      <c r="M72" s="15">
        <f t="shared" si="8"/>
        <v>-18594331</v>
      </c>
      <c r="N72" s="15">
        <f t="shared" si="8"/>
        <v>-11718600</v>
      </c>
      <c r="O72" s="15">
        <f t="shared" si="8"/>
        <v>-39407839</v>
      </c>
    </row>
    <row r="73" spans="5:15" ht="20.100000000000001" customHeight="1" x14ac:dyDescent="0.25">
      <c r="E73" s="2" t="s">
        <v>44</v>
      </c>
      <c r="F73" s="698"/>
      <c r="G73" s="698"/>
      <c r="H73" s="698"/>
      <c r="I73" s="698"/>
      <c r="J73" s="698"/>
      <c r="K73" s="698"/>
      <c r="L73" s="698"/>
      <c r="M73" s="698"/>
      <c r="N73" s="698"/>
      <c r="O73" s="698"/>
    </row>
    <row r="74" spans="5:15" x14ac:dyDescent="0.25">
      <c r="E74" s="594" t="s">
        <v>1711</v>
      </c>
      <c r="F74" s="599">
        <v>91266104</v>
      </c>
      <c r="G74" s="600">
        <v>105614551</v>
      </c>
      <c r="H74" s="600">
        <v>39739900</v>
      </c>
      <c r="I74" s="600">
        <v>41792708</v>
      </c>
      <c r="J74" s="600">
        <v>33390956</v>
      </c>
      <c r="K74" s="600">
        <v>64147101</v>
      </c>
      <c r="L74" s="600">
        <v>49047267</v>
      </c>
      <c r="M74" s="600">
        <v>58561938</v>
      </c>
      <c r="N74" s="600">
        <v>157436302</v>
      </c>
      <c r="O74" s="600">
        <v>159788626</v>
      </c>
    </row>
    <row r="75" spans="5:15" x14ac:dyDescent="0.25">
      <c r="E75" s="595" t="s">
        <v>1712</v>
      </c>
      <c r="F75" s="601">
        <v>72687369</v>
      </c>
      <c r="G75" s="602">
        <v>87990576</v>
      </c>
      <c r="H75" s="602">
        <v>24485957</v>
      </c>
      <c r="I75" s="602">
        <v>19781731</v>
      </c>
      <c r="J75" s="602">
        <v>19666519</v>
      </c>
      <c r="K75" s="602">
        <v>52507768</v>
      </c>
      <c r="L75" s="602">
        <v>37563167</v>
      </c>
      <c r="M75" s="602">
        <v>50273848</v>
      </c>
      <c r="N75" s="602">
        <v>145154910</v>
      </c>
      <c r="O75" s="602">
        <v>143640576</v>
      </c>
    </row>
    <row r="76" spans="5:15" x14ac:dyDescent="0.25">
      <c r="E76" s="592" t="s">
        <v>1616</v>
      </c>
      <c r="F76" s="602">
        <v>0</v>
      </c>
      <c r="G76" s="602">
        <v>0</v>
      </c>
      <c r="H76" s="602">
        <v>0</v>
      </c>
      <c r="I76" s="602">
        <v>0</v>
      </c>
      <c r="J76" s="602">
        <v>0</v>
      </c>
      <c r="K76" s="602">
        <v>0</v>
      </c>
      <c r="L76" s="602">
        <v>0</v>
      </c>
      <c r="M76" s="602">
        <v>0</v>
      </c>
      <c r="N76" s="602">
        <v>0</v>
      </c>
      <c r="O76" s="602">
        <v>23856000</v>
      </c>
    </row>
    <row r="77" spans="5:15" x14ac:dyDescent="0.25">
      <c r="E77" s="592" t="s">
        <v>1617</v>
      </c>
      <c r="F77" s="601">
        <v>55180000</v>
      </c>
      <c r="G77" s="602">
        <v>56205000</v>
      </c>
      <c r="H77" s="602">
        <v>0</v>
      </c>
      <c r="I77" s="602">
        <v>16340000</v>
      </c>
      <c r="J77" s="602">
        <v>0</v>
      </c>
      <c r="K77" s="602">
        <v>21522000</v>
      </c>
      <c r="L77" s="602">
        <v>4520000</v>
      </c>
      <c r="M77" s="602">
        <v>0</v>
      </c>
      <c r="N77" s="602">
        <v>0</v>
      </c>
      <c r="O77" s="602">
        <v>0</v>
      </c>
    </row>
    <row r="78" spans="5:15" x14ac:dyDescent="0.25">
      <c r="E78" s="593" t="s">
        <v>1618</v>
      </c>
      <c r="F78" s="603">
        <v>0</v>
      </c>
      <c r="G78" s="603">
        <v>4440597</v>
      </c>
      <c r="H78" s="603">
        <v>0</v>
      </c>
      <c r="I78" s="603">
        <v>0</v>
      </c>
      <c r="J78" s="603">
        <v>0</v>
      </c>
      <c r="K78" s="603">
        <v>0</v>
      </c>
      <c r="L78" s="603">
        <v>0</v>
      </c>
      <c r="M78" s="603">
        <v>0</v>
      </c>
      <c r="N78" s="603">
        <v>0</v>
      </c>
      <c r="O78" s="603">
        <v>0</v>
      </c>
    </row>
    <row r="79" spans="5:15" ht="20.100000000000001" customHeight="1" x14ac:dyDescent="0.25">
      <c r="E79" s="554" t="s">
        <v>1713</v>
      </c>
      <c r="F79" s="15">
        <f>IF(COUNT(F74:F78),SUM(F74)+SUM(F76:F78)-SUM(F75),"")</f>
        <v>73758735</v>
      </c>
      <c r="G79" s="15">
        <f t="shared" ref="G79:O79" si="9">IF(COUNT(G74:G78),SUM(G74)+SUM(G76:G78)-SUM(G75),"")</f>
        <v>78269572</v>
      </c>
      <c r="H79" s="15">
        <f t="shared" si="9"/>
        <v>15253943</v>
      </c>
      <c r="I79" s="15">
        <f t="shared" si="9"/>
        <v>38350977</v>
      </c>
      <c r="J79" s="15">
        <f t="shared" si="9"/>
        <v>13724437</v>
      </c>
      <c r="K79" s="15">
        <f t="shared" si="9"/>
        <v>33161333</v>
      </c>
      <c r="L79" s="15">
        <f t="shared" si="9"/>
        <v>16004100</v>
      </c>
      <c r="M79" s="15">
        <f t="shared" si="9"/>
        <v>8288090</v>
      </c>
      <c r="N79" s="15">
        <f t="shared" si="9"/>
        <v>12281392</v>
      </c>
      <c r="O79" s="15">
        <f t="shared" si="9"/>
        <v>40004050</v>
      </c>
    </row>
    <row r="80" spans="5:15" ht="20.100000000000001" customHeight="1" x14ac:dyDescent="0.25">
      <c r="E80" s="79" t="s">
        <v>1619</v>
      </c>
      <c r="F80" s="15">
        <f>IF(COUNT(F72,F79),SUM(F79)+SUM(F72),"")</f>
        <v>66468369</v>
      </c>
      <c r="G80" s="15">
        <f t="shared" ref="G80:O80" si="10">IF(COUNT(G72,G79),SUM(G79)+SUM(G72),"")</f>
        <v>71149474</v>
      </c>
      <c r="H80" s="15">
        <f t="shared" si="10"/>
        <v>15866289</v>
      </c>
      <c r="I80" s="15">
        <f t="shared" si="10"/>
        <v>20677357</v>
      </c>
      <c r="J80" s="15">
        <f t="shared" si="10"/>
        <v>12337592</v>
      </c>
      <c r="K80" s="15">
        <f t="shared" si="10"/>
        <v>-8364797</v>
      </c>
      <c r="L80" s="15">
        <f t="shared" si="10"/>
        <v>-14344847</v>
      </c>
      <c r="M80" s="15">
        <f t="shared" si="10"/>
        <v>-10306241</v>
      </c>
      <c r="N80" s="15">
        <f t="shared" si="10"/>
        <v>562792</v>
      </c>
      <c r="O80" s="15">
        <f t="shared" si="10"/>
        <v>596211</v>
      </c>
    </row>
    <row r="81" spans="5:15" ht="20.100000000000001" customHeight="1" x14ac:dyDescent="0.25">
      <c r="E81" s="87" t="s">
        <v>1620</v>
      </c>
      <c r="F81" s="48">
        <v>2.9600000000000001E-2</v>
      </c>
      <c r="G81" s="48">
        <v>5.9400000000000001E-2</v>
      </c>
      <c r="H81" s="48">
        <v>6.0100000000000001E-2</v>
      </c>
      <c r="I81" s="48">
        <v>0.12809999999999999</v>
      </c>
      <c r="J81" s="48">
        <v>6.1100000000000002E-2</v>
      </c>
      <c r="K81" s="48">
        <v>0.15659999999999999</v>
      </c>
      <c r="L81" s="48">
        <v>7.9600000000000004E-2</v>
      </c>
      <c r="M81" s="48">
        <v>9.35E-2</v>
      </c>
      <c r="N81" s="48">
        <v>9.4399999999999998E-2</v>
      </c>
      <c r="O81" s="48">
        <v>0.20849999999999999</v>
      </c>
    </row>
    <row r="82" spans="5:15" x14ac:dyDescent="0.25">
      <c r="F82" s="58"/>
      <c r="G82" s="58"/>
      <c r="H82" s="58"/>
    </row>
  </sheetData>
  <sheetProtection algorithmName="SHA-512" hashValue="8btWPjBSCLGkkPP9+lzs8UhKA30/he51MgkeSxCe5R7LC4kW4D95WdTpNjj5HGlAaYSNm49mGh0IYXfAIpKBGw==" saltValue="XVWdfZqp6n8DQ2I9SQIlDA==" spinCount="100000" sheet="1" objects="1" scenarios="1"/>
  <mergeCells count="13">
    <mergeCell ref="F73:O73"/>
    <mergeCell ref="F42:O42"/>
    <mergeCell ref="F50:O50"/>
    <mergeCell ref="F51:O51"/>
    <mergeCell ref="F55:O55"/>
    <mergeCell ref="F60:O60"/>
    <mergeCell ref="F64:O64"/>
    <mergeCell ref="F34:O34"/>
    <mergeCell ref="E10:E12"/>
    <mergeCell ref="F10:N10"/>
    <mergeCell ref="F11:O11"/>
    <mergeCell ref="F13:O13"/>
    <mergeCell ref="F20:O20"/>
  </mergeCells>
  <pageMargins left="0.7" right="0.7" top="0.75" bottom="0.75" header="0.3" footer="0.3"/>
  <pageSetup orientation="portrait" horizontalDpi="200" verticalDpi="20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dimension ref="D1:Q50"/>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5" width="9.140625" style="28" customWidth="1"/>
    <col min="6" max="13" width="20.7109375" style="28" customWidth="1"/>
    <col min="14" max="14" width="2.7109375" style="28" customWidth="1"/>
    <col min="15" max="15" width="9.140625" style="28" hidden="1" customWidth="1"/>
    <col min="16" max="17" width="0" style="28" hidden="1" customWidth="1"/>
    <col min="18" max="16384" width="9.140625" style="28" hidden="1"/>
  </cols>
  <sheetData>
    <row r="1" spans="5:14" hidden="1" x14ac:dyDescent="0.25"/>
    <row r="2" spans="5:14" hidden="1" x14ac:dyDescent="0.25"/>
    <row r="3" spans="5:14" hidden="1" x14ac:dyDescent="0.25"/>
    <row r="4" spans="5:14" hidden="1" x14ac:dyDescent="0.25"/>
    <row r="5" spans="5:14" hidden="1" x14ac:dyDescent="0.25"/>
    <row r="6" spans="5:14" hidden="1" x14ac:dyDescent="0.25"/>
    <row r="7" spans="5:14" hidden="1" x14ac:dyDescent="0.25"/>
    <row r="8" spans="5:14" ht="24.75" hidden="1" customHeight="1" x14ac:dyDescent="0.25">
      <c r="F8" s="813"/>
      <c r="G8" s="813"/>
    </row>
    <row r="9" spans="5:14" ht="36.950000000000003" customHeight="1" x14ac:dyDescent="0.25">
      <c r="N9" s="51"/>
    </row>
    <row r="10" spans="5:14" ht="20.100000000000001" customHeight="1" x14ac:dyDescent="0.25">
      <c r="E10" s="785" t="s">
        <v>158</v>
      </c>
      <c r="F10" s="699" t="s">
        <v>156</v>
      </c>
      <c r="G10" s="700"/>
      <c r="H10" s="700"/>
      <c r="I10" s="700"/>
      <c r="J10" s="700"/>
      <c r="K10" s="700"/>
      <c r="L10" s="701"/>
      <c r="M10" s="176" t="str">
        <f>TEXT(DATE('General Info'!$G$11,VALUE('General Info'!$E$11),'General Info'!$F$11),"MMMM DD, YYYY")</f>
        <v>September 30, 2017</v>
      </c>
    </row>
    <row r="11" spans="5:14" ht="20.100000000000001" customHeight="1" x14ac:dyDescent="0.25">
      <c r="E11" s="785"/>
      <c r="F11" s="699" t="s">
        <v>157</v>
      </c>
      <c r="G11" s="700"/>
      <c r="H11" s="700"/>
      <c r="I11" s="700"/>
      <c r="J11" s="700"/>
      <c r="K11" s="700"/>
      <c r="L11" s="700"/>
      <c r="M11" s="701"/>
    </row>
    <row r="12" spans="5:14" ht="45" x14ac:dyDescent="0.25">
      <c r="E12" s="785"/>
      <c r="F12" s="192" t="s">
        <v>159</v>
      </c>
      <c r="G12" s="192" t="s">
        <v>1747</v>
      </c>
      <c r="H12" s="192" t="s">
        <v>1748</v>
      </c>
      <c r="I12" s="192" t="s">
        <v>1749</v>
      </c>
      <c r="J12" s="192" t="s">
        <v>1750</v>
      </c>
      <c r="K12" s="192" t="s">
        <v>1742</v>
      </c>
      <c r="L12" s="192" t="s">
        <v>1751</v>
      </c>
      <c r="M12" s="404" t="s">
        <v>160</v>
      </c>
    </row>
    <row r="13" spans="5:14" x14ac:dyDescent="0.25">
      <c r="E13" s="92">
        <v>2008</v>
      </c>
      <c r="F13" s="476">
        <v>39946000</v>
      </c>
      <c r="G13" s="477">
        <v>24077211</v>
      </c>
      <c r="H13" s="477">
        <v>5250000</v>
      </c>
      <c r="I13" s="477">
        <v>23410000</v>
      </c>
      <c r="J13" s="477">
        <v>54825000</v>
      </c>
      <c r="K13" s="478">
        <v>0</v>
      </c>
      <c r="L13" s="477">
        <v>2455000</v>
      </c>
      <c r="M13" s="478">
        <v>2901608</v>
      </c>
    </row>
    <row r="14" spans="5:14" x14ac:dyDescent="0.25">
      <c r="E14" s="93">
        <v>2009</v>
      </c>
      <c r="F14" s="479">
        <v>38855000</v>
      </c>
      <c r="G14" s="480">
        <v>18665000</v>
      </c>
      <c r="H14" s="480">
        <v>2690000</v>
      </c>
      <c r="I14" s="480">
        <v>22435000</v>
      </c>
      <c r="J14" s="480">
        <v>49040000</v>
      </c>
      <c r="K14" s="481">
        <v>0</v>
      </c>
      <c r="L14" s="480">
        <v>0</v>
      </c>
      <c r="M14" s="481">
        <v>2292558</v>
      </c>
    </row>
    <row r="15" spans="5:14" x14ac:dyDescent="0.25">
      <c r="E15" s="93">
        <v>2010</v>
      </c>
      <c r="F15" s="479">
        <v>36729000</v>
      </c>
      <c r="G15" s="480">
        <v>12770000</v>
      </c>
      <c r="H15" s="480">
        <v>0</v>
      </c>
      <c r="I15" s="480">
        <v>21445000</v>
      </c>
      <c r="J15" s="480">
        <v>42975000</v>
      </c>
      <c r="K15" s="481">
        <v>0</v>
      </c>
      <c r="L15" s="481">
        <v>0</v>
      </c>
      <c r="M15" s="481">
        <v>1739066</v>
      </c>
    </row>
    <row r="16" spans="5:14" x14ac:dyDescent="0.25">
      <c r="E16" s="94">
        <v>2011</v>
      </c>
      <c r="F16" s="482">
        <v>39033000</v>
      </c>
      <c r="G16" s="481">
        <v>6540000</v>
      </c>
      <c r="H16" s="480">
        <v>0</v>
      </c>
      <c r="I16" s="481">
        <v>20425000</v>
      </c>
      <c r="J16" s="481">
        <v>36610000</v>
      </c>
      <c r="K16" s="481">
        <v>0</v>
      </c>
      <c r="L16" s="481">
        <v>0</v>
      </c>
      <c r="M16" s="481">
        <v>1251536</v>
      </c>
    </row>
    <row r="17" spans="5:16" x14ac:dyDescent="0.25">
      <c r="E17" s="94">
        <v>2012</v>
      </c>
      <c r="F17" s="482">
        <v>36155000</v>
      </c>
      <c r="G17" s="481">
        <v>0</v>
      </c>
      <c r="H17" s="481">
        <v>0</v>
      </c>
      <c r="I17" s="481">
        <v>19375000</v>
      </c>
      <c r="J17" s="481">
        <v>29925000</v>
      </c>
      <c r="K17" s="481">
        <v>0</v>
      </c>
      <c r="L17" s="481">
        <v>0</v>
      </c>
      <c r="M17" s="481">
        <v>833544</v>
      </c>
    </row>
    <row r="18" spans="5:16" x14ac:dyDescent="0.25">
      <c r="E18" s="94">
        <v>2013</v>
      </c>
      <c r="F18" s="482">
        <v>32332000</v>
      </c>
      <c r="G18" s="481">
        <v>0</v>
      </c>
      <c r="H18" s="481">
        <v>0</v>
      </c>
      <c r="I18" s="481">
        <v>18290000</v>
      </c>
      <c r="J18" s="481">
        <v>0</v>
      </c>
      <c r="K18" s="481">
        <v>0</v>
      </c>
      <c r="L18" s="481">
        <v>0</v>
      </c>
      <c r="M18" s="481">
        <v>492692</v>
      </c>
    </row>
    <row r="19" spans="5:16" x14ac:dyDescent="0.25">
      <c r="E19" s="94">
        <v>2014</v>
      </c>
      <c r="F19" s="482">
        <v>26159000</v>
      </c>
      <c r="G19" s="481">
        <v>0</v>
      </c>
      <c r="H19" s="481">
        <v>0</v>
      </c>
      <c r="I19" s="481">
        <v>16340000</v>
      </c>
      <c r="J19" s="481">
        <v>15505000</v>
      </c>
      <c r="K19" s="481">
        <v>0</v>
      </c>
      <c r="L19" s="481">
        <v>0</v>
      </c>
      <c r="M19" s="481">
        <v>233476</v>
      </c>
    </row>
    <row r="20" spans="5:16" x14ac:dyDescent="0.25">
      <c r="E20" s="94">
        <v>2015</v>
      </c>
      <c r="F20" s="482">
        <v>19859000</v>
      </c>
      <c r="G20" s="481">
        <v>0</v>
      </c>
      <c r="H20" s="481">
        <v>0</v>
      </c>
      <c r="I20" s="481">
        <v>16340000</v>
      </c>
      <c r="J20" s="481">
        <v>7735000</v>
      </c>
      <c r="K20" s="481">
        <v>0</v>
      </c>
      <c r="L20" s="481">
        <v>0</v>
      </c>
      <c r="M20" s="481">
        <v>88431</v>
      </c>
    </row>
    <row r="21" spans="5:16" x14ac:dyDescent="0.25">
      <c r="E21" s="94">
        <v>2016</v>
      </c>
      <c r="F21" s="482">
        <v>13418000</v>
      </c>
      <c r="G21" s="481">
        <v>0</v>
      </c>
      <c r="H21" s="481">
        <v>0</v>
      </c>
      <c r="I21" s="481">
        <v>16340000</v>
      </c>
      <c r="J21" s="481">
        <v>0</v>
      </c>
      <c r="K21" s="481">
        <v>56205000</v>
      </c>
      <c r="L21" s="481">
        <v>0</v>
      </c>
      <c r="M21" s="481">
        <v>-4440597</v>
      </c>
    </row>
    <row r="22" spans="5:16" x14ac:dyDescent="0.25">
      <c r="E22" s="95">
        <v>2017</v>
      </c>
      <c r="F22" s="483">
        <v>65251000</v>
      </c>
      <c r="G22" s="484">
        <v>0</v>
      </c>
      <c r="H22" s="484">
        <v>0</v>
      </c>
      <c r="I22" s="484">
        <v>14845000</v>
      </c>
      <c r="J22" s="484">
        <v>0</v>
      </c>
      <c r="K22" s="484">
        <v>55805000</v>
      </c>
      <c r="L22" s="484">
        <v>0</v>
      </c>
      <c r="M22" s="484">
        <v>-3967721</v>
      </c>
    </row>
    <row r="23" spans="5:16" customFormat="1" x14ac:dyDescent="0.25"/>
    <row r="24" spans="5:16" ht="20.100000000000001" customHeight="1" x14ac:dyDescent="0.25">
      <c r="E24" s="814" t="s">
        <v>161</v>
      </c>
      <c r="F24" s="814"/>
      <c r="G24" s="814"/>
      <c r="H24" s="814"/>
      <c r="I24" s="814"/>
      <c r="J24" s="814"/>
      <c r="K24" s="814"/>
      <c r="L24" s="814"/>
      <c r="M24" s="815"/>
      <c r="N24" s="815"/>
      <c r="O24" s="815"/>
      <c r="P24" s="80"/>
    </row>
    <row r="25" spans="5:16" ht="45" x14ac:dyDescent="0.25">
      <c r="E25" s="194" t="s">
        <v>162</v>
      </c>
      <c r="F25" s="553" t="s">
        <v>1752</v>
      </c>
      <c r="G25" s="194" t="s">
        <v>1743</v>
      </c>
      <c r="H25" s="194" t="s">
        <v>1744</v>
      </c>
      <c r="I25" s="194" t="s">
        <v>1745</v>
      </c>
      <c r="J25" s="194" t="s">
        <v>163</v>
      </c>
      <c r="K25" s="553" t="s">
        <v>1753</v>
      </c>
      <c r="L25" s="194" t="s">
        <v>1746</v>
      </c>
    </row>
    <row r="26" spans="5:16" x14ac:dyDescent="0.25">
      <c r="E26" s="92">
        <v>2008</v>
      </c>
      <c r="F26" s="482">
        <v>196765602</v>
      </c>
      <c r="G26" s="481">
        <v>0</v>
      </c>
      <c r="H26" s="481">
        <v>3635612</v>
      </c>
      <c r="I26" s="481">
        <v>56059</v>
      </c>
      <c r="J26" s="481">
        <v>7055000</v>
      </c>
      <c r="K26" s="481">
        <v>-19044</v>
      </c>
      <c r="L26" s="481">
        <f t="shared" ref="L26:L35" si="0">SUM(F13:M13)+SUM(F26:K26)</f>
        <v>360358048</v>
      </c>
      <c r="N26" s="260"/>
    </row>
    <row r="27" spans="5:16" x14ac:dyDescent="0.25">
      <c r="E27" s="93">
        <v>2009</v>
      </c>
      <c r="F27" s="482">
        <v>244253250</v>
      </c>
      <c r="G27" s="481">
        <v>0</v>
      </c>
      <c r="H27" s="481">
        <v>1655612</v>
      </c>
      <c r="I27" s="481">
        <v>4390</v>
      </c>
      <c r="J27" s="481">
        <v>6665000</v>
      </c>
      <c r="K27" s="481">
        <v>1502462</v>
      </c>
      <c r="L27" s="481">
        <f t="shared" si="0"/>
        <v>388058272</v>
      </c>
    </row>
    <row r="28" spans="5:16" x14ac:dyDescent="0.25">
      <c r="E28" s="93">
        <v>2010</v>
      </c>
      <c r="F28" s="482">
        <v>239485075</v>
      </c>
      <c r="G28" s="481">
        <v>0</v>
      </c>
      <c r="H28" s="481">
        <v>0</v>
      </c>
      <c r="I28" s="481">
        <v>0</v>
      </c>
      <c r="J28" s="481">
        <v>6260000</v>
      </c>
      <c r="K28" s="481">
        <v>1308784</v>
      </c>
      <c r="L28" s="481">
        <f t="shared" si="0"/>
        <v>362711925</v>
      </c>
    </row>
    <row r="29" spans="5:16" x14ac:dyDescent="0.25">
      <c r="E29" s="94">
        <v>2011</v>
      </c>
      <c r="F29" s="482">
        <v>283404789</v>
      </c>
      <c r="G29" s="481">
        <v>0</v>
      </c>
      <c r="H29" s="481">
        <v>0</v>
      </c>
      <c r="I29" s="481">
        <v>162153</v>
      </c>
      <c r="J29" s="481">
        <v>5840000</v>
      </c>
      <c r="K29" s="481">
        <v>1185744</v>
      </c>
      <c r="L29" s="481">
        <f t="shared" si="0"/>
        <v>394452222</v>
      </c>
    </row>
    <row r="30" spans="5:16" x14ac:dyDescent="0.25">
      <c r="E30" s="94">
        <v>2012</v>
      </c>
      <c r="F30" s="482">
        <v>282603489</v>
      </c>
      <c r="G30" s="481">
        <v>0</v>
      </c>
      <c r="H30" s="481">
        <v>0</v>
      </c>
      <c r="I30" s="481">
        <v>116021</v>
      </c>
      <c r="J30" s="481">
        <v>5405000</v>
      </c>
      <c r="K30" s="481">
        <v>922161</v>
      </c>
      <c r="L30" s="481">
        <f t="shared" si="0"/>
        <v>375335215</v>
      </c>
    </row>
    <row r="31" spans="5:16" x14ac:dyDescent="0.25">
      <c r="E31" s="94">
        <v>2013</v>
      </c>
      <c r="F31" s="482">
        <v>320529123</v>
      </c>
      <c r="G31" s="481">
        <v>0</v>
      </c>
      <c r="H31" s="481">
        <v>0</v>
      </c>
      <c r="I31" s="481">
        <v>68803</v>
      </c>
      <c r="J31" s="481">
        <v>4950000</v>
      </c>
      <c r="K31" s="481">
        <v>3222219</v>
      </c>
      <c r="L31" s="481">
        <f t="shared" si="0"/>
        <v>379884837</v>
      </c>
    </row>
    <row r="32" spans="5:16" x14ac:dyDescent="0.25">
      <c r="E32" s="94">
        <v>2014</v>
      </c>
      <c r="F32" s="482">
        <v>339033525</v>
      </c>
      <c r="G32" s="481">
        <v>0</v>
      </c>
      <c r="H32" s="481">
        <v>0</v>
      </c>
      <c r="I32" s="481">
        <v>20472</v>
      </c>
      <c r="J32" s="481">
        <v>4480000</v>
      </c>
      <c r="K32" s="481">
        <v>3583617</v>
      </c>
      <c r="L32" s="481">
        <f t="shared" si="0"/>
        <v>405355090</v>
      </c>
    </row>
    <row r="33" spans="5:12" x14ac:dyDescent="0.25">
      <c r="E33" s="94">
        <v>2015</v>
      </c>
      <c r="F33" s="482">
        <v>365037069</v>
      </c>
      <c r="G33" s="481">
        <v>6075000</v>
      </c>
      <c r="H33" s="481">
        <v>0</v>
      </c>
      <c r="I33" s="481">
        <v>0</v>
      </c>
      <c r="J33" s="481">
        <v>3990000</v>
      </c>
      <c r="K33" s="481">
        <v>7075265</v>
      </c>
      <c r="L33" s="481">
        <f t="shared" si="0"/>
        <v>426199765</v>
      </c>
    </row>
    <row r="34" spans="5:12" x14ac:dyDescent="0.25">
      <c r="E34" s="94">
        <v>2016</v>
      </c>
      <c r="F34" s="482">
        <v>390865623</v>
      </c>
      <c r="G34" s="481">
        <v>4880000</v>
      </c>
      <c r="H34" s="481">
        <v>0</v>
      </c>
      <c r="I34" s="481">
        <v>0</v>
      </c>
      <c r="J34" s="481">
        <v>3485000</v>
      </c>
      <c r="K34" s="481">
        <v>7420391</v>
      </c>
      <c r="L34" s="481">
        <f t="shared" si="0"/>
        <v>488173417</v>
      </c>
    </row>
    <row r="35" spans="5:12" x14ac:dyDescent="0.25">
      <c r="E35" s="95">
        <v>2017</v>
      </c>
      <c r="F35" s="483">
        <v>448434158</v>
      </c>
      <c r="G35" s="484">
        <v>3650000</v>
      </c>
      <c r="H35" s="484">
        <v>0</v>
      </c>
      <c r="I35" s="484">
        <v>0</v>
      </c>
      <c r="J35" s="484">
        <v>5540000</v>
      </c>
      <c r="K35" s="484">
        <v>13874861</v>
      </c>
      <c r="L35" s="484">
        <f t="shared" si="0"/>
        <v>603432298</v>
      </c>
    </row>
    <row r="36" spans="5:12" x14ac:dyDescent="0.25"/>
    <row r="37" spans="5:12" customFormat="1" x14ac:dyDescent="0.25"/>
    <row r="38" spans="5:12" ht="45" x14ac:dyDescent="0.25">
      <c r="E38" s="407" t="s">
        <v>164</v>
      </c>
      <c r="F38" s="407" t="s">
        <v>1736</v>
      </c>
      <c r="G38" s="407" t="s">
        <v>1737</v>
      </c>
      <c r="H38" s="407" t="s">
        <v>1738</v>
      </c>
      <c r="I38" s="407" t="s">
        <v>1739</v>
      </c>
      <c r="J38" s="407" t="s">
        <v>1740</v>
      </c>
      <c r="K38" s="407" t="s">
        <v>1741</v>
      </c>
    </row>
    <row r="39" spans="5:12" x14ac:dyDescent="0.25">
      <c r="E39" s="92">
        <v>2008</v>
      </c>
      <c r="F39" s="610">
        <v>2.0337993545592733E-2</v>
      </c>
      <c r="G39" s="485">
        <f>L26/I39</f>
        <v>1433.0688024687922</v>
      </c>
      <c r="H39" s="446">
        <v>17718466042</v>
      </c>
      <c r="I39" s="446">
        <v>251459</v>
      </c>
      <c r="J39" s="458">
        <v>6047640000</v>
      </c>
      <c r="K39" s="485">
        <f>L26/J39*100</f>
        <v>5.9586557400903493</v>
      </c>
    </row>
    <row r="40" spans="5:12" x14ac:dyDescent="0.25">
      <c r="E40" s="93">
        <v>2009</v>
      </c>
      <c r="F40" s="610">
        <v>2.3343774656937939E-2</v>
      </c>
      <c r="G40" s="485">
        <f t="shared" ref="G40:G48" si="1">L27/I40</f>
        <v>1560.1649666906553</v>
      </c>
      <c r="H40" s="443">
        <v>16623629970</v>
      </c>
      <c r="I40" s="443">
        <v>248729</v>
      </c>
      <c r="J40" s="459">
        <v>6816447000</v>
      </c>
      <c r="K40" s="486">
        <f t="shared" ref="K40:K48" si="2">L27/J40*100</f>
        <v>5.6929698419132428</v>
      </c>
    </row>
    <row r="41" spans="5:12" x14ac:dyDescent="0.25">
      <c r="E41" s="93">
        <v>2010</v>
      </c>
      <c r="F41" s="610">
        <v>2.491077117600304E-2</v>
      </c>
      <c r="G41" s="485">
        <f t="shared" si="1"/>
        <v>1472.1765945011325</v>
      </c>
      <c r="H41" s="443">
        <v>14560445457</v>
      </c>
      <c r="I41" s="443">
        <v>246378</v>
      </c>
      <c r="J41" s="459">
        <v>6218154000</v>
      </c>
      <c r="K41" s="486">
        <f t="shared" si="2"/>
        <v>5.8331126086616703</v>
      </c>
    </row>
    <row r="42" spans="5:12" x14ac:dyDescent="0.25">
      <c r="E42" s="94">
        <v>2011</v>
      </c>
      <c r="F42" s="610">
        <v>3.0186716911594479E-2</v>
      </c>
      <c r="G42" s="485">
        <f t="shared" si="1"/>
        <v>1611.5285105548496</v>
      </c>
      <c r="H42" s="459">
        <v>13067079244</v>
      </c>
      <c r="I42" s="459">
        <v>244769</v>
      </c>
      <c r="J42" s="459">
        <v>6341838000</v>
      </c>
      <c r="K42" s="487">
        <f t="shared" si="2"/>
        <v>6.2198407149473072</v>
      </c>
    </row>
    <row r="43" spans="5:12" x14ac:dyDescent="0.25">
      <c r="E43" s="94">
        <v>2012</v>
      </c>
      <c r="F43" s="610">
        <v>3.0712856891331446E-2</v>
      </c>
      <c r="G43" s="485">
        <f t="shared" si="1"/>
        <v>1523.9378098443724</v>
      </c>
      <c r="H43" s="459">
        <v>12220784811</v>
      </c>
      <c r="I43" s="459">
        <v>246293</v>
      </c>
      <c r="J43" s="459">
        <v>6748428000</v>
      </c>
      <c r="K43" s="487">
        <f t="shared" si="2"/>
        <v>5.5618169890824944</v>
      </c>
    </row>
    <row r="44" spans="5:12" x14ac:dyDescent="0.25">
      <c r="E44" s="94">
        <v>2013</v>
      </c>
      <c r="F44" s="610">
        <v>3.1479139817145563E-2</v>
      </c>
      <c r="G44" s="485">
        <f t="shared" si="1"/>
        <v>1548.2564078528549</v>
      </c>
      <c r="H44" s="459">
        <v>12067827749</v>
      </c>
      <c r="I44" s="459">
        <v>245363</v>
      </c>
      <c r="J44" s="459">
        <v>6946717000</v>
      </c>
      <c r="K44" s="487">
        <f t="shared" si="2"/>
        <v>5.4685520800689016</v>
      </c>
    </row>
    <row r="45" spans="5:12" x14ac:dyDescent="0.25">
      <c r="E45" s="94">
        <v>2014</v>
      </c>
      <c r="F45" s="610">
        <v>3.2287229167257972E-2</v>
      </c>
      <c r="G45" s="485">
        <f t="shared" si="1"/>
        <v>1643.4957955254986</v>
      </c>
      <c r="H45" s="459">
        <v>12554657072</v>
      </c>
      <c r="I45" s="459">
        <v>246642</v>
      </c>
      <c r="J45" s="459">
        <v>6899070000</v>
      </c>
      <c r="K45" s="487">
        <f t="shared" si="2"/>
        <v>5.8755033649462902</v>
      </c>
    </row>
    <row r="46" spans="5:12" x14ac:dyDescent="0.25">
      <c r="E46" s="94">
        <v>2015</v>
      </c>
      <c r="F46" s="610">
        <v>3.1463165799569232E-2</v>
      </c>
      <c r="G46" s="485">
        <f t="shared" si="1"/>
        <v>1715.5797632321508</v>
      </c>
      <c r="H46" s="459">
        <v>13545991135</v>
      </c>
      <c r="I46" s="459">
        <v>248429</v>
      </c>
      <c r="J46" s="459">
        <v>7122459000</v>
      </c>
      <c r="K46" s="487">
        <f t="shared" si="2"/>
        <v>5.983885130121493</v>
      </c>
    </row>
    <row r="47" spans="5:12" x14ac:dyDescent="0.25">
      <c r="E47" s="94">
        <v>2016</v>
      </c>
      <c r="F47" s="610">
        <v>3.323765757270844E-2</v>
      </c>
      <c r="G47" s="485">
        <f t="shared" si="1"/>
        <v>1947.1404235121433</v>
      </c>
      <c r="H47" s="459">
        <v>14687359238</v>
      </c>
      <c r="I47" s="459">
        <v>250713</v>
      </c>
      <c r="J47" s="459">
        <v>7256637000</v>
      </c>
      <c r="K47" s="487">
        <f t="shared" si="2"/>
        <v>6.7272679755098679</v>
      </c>
    </row>
    <row r="48" spans="5:12" x14ac:dyDescent="0.25">
      <c r="E48" s="95">
        <v>2017</v>
      </c>
      <c r="F48" s="611">
        <v>3.7936323345142658E-2</v>
      </c>
      <c r="G48" s="488">
        <f t="shared" si="1"/>
        <v>2379.6056470217086</v>
      </c>
      <c r="H48" s="489">
        <v>15906451780</v>
      </c>
      <c r="I48" s="489">
        <v>253585</v>
      </c>
      <c r="J48" s="489">
        <v>7659789000</v>
      </c>
      <c r="K48" s="490">
        <f t="shared" si="2"/>
        <v>7.87792324305539</v>
      </c>
    </row>
    <row r="49" x14ac:dyDescent="0.25"/>
    <row r="50" hidden="1" x14ac:dyDescent="0.25"/>
  </sheetData>
  <sheetProtection password="90F3" sheet="1" objects="1" scenarios="1"/>
  <mergeCells count="6">
    <mergeCell ref="F8:G8"/>
    <mergeCell ref="E24:L24"/>
    <mergeCell ref="F10:L10"/>
    <mergeCell ref="F11:M11"/>
    <mergeCell ref="M24:O24"/>
    <mergeCell ref="E10:E12"/>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dimension ref="D1:K23"/>
  <sheetViews>
    <sheetView showGridLines="0" topLeftCell="D9" workbookViewId="0">
      <selection activeCell="D9" sqref="D9"/>
    </sheetView>
  </sheetViews>
  <sheetFormatPr defaultColWidth="0" defaultRowHeight="15" zeroHeight="1" x14ac:dyDescent="0.25"/>
  <cols>
    <col min="1" max="3" width="21" hidden="1" customWidth="1"/>
    <col min="4" max="4" width="2.7109375" customWidth="1"/>
    <col min="5" max="8" width="21" customWidth="1"/>
    <col min="9" max="9" width="22.85546875" customWidth="1"/>
    <col min="10" max="10" width="21" customWidth="1"/>
    <col min="11" max="11" width="2.7109375" customWidth="1"/>
    <col min="12" max="16384" width="21"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idden="1" x14ac:dyDescent="0.25"/>
    <row r="8" spans="5:10" ht="32.25" hidden="1" customHeight="1" x14ac:dyDescent="0.25">
      <c r="E8" s="819"/>
      <c r="F8" s="819"/>
    </row>
    <row r="9" spans="5:10" ht="36.950000000000003" customHeight="1" x14ac:dyDescent="0.25"/>
    <row r="10" spans="5:10" ht="20.100000000000001" customHeight="1" x14ac:dyDescent="0.25">
      <c r="E10" s="820" t="s">
        <v>165</v>
      </c>
      <c r="F10" s="821"/>
      <c r="G10" s="821"/>
      <c r="H10" s="821"/>
      <c r="I10" s="821"/>
      <c r="J10" s="412" t="str">
        <f>TEXT(DATE('General Info'!$G$11,VALUE('General Info'!$E$11),'General Info'!$F$11),"MMMM DD, YYYY")</f>
        <v>September 30, 2017</v>
      </c>
    </row>
    <row r="11" spans="5:10" ht="20.100000000000001" customHeight="1" x14ac:dyDescent="0.25">
      <c r="E11" s="816" t="s">
        <v>166</v>
      </c>
      <c r="F11" s="817"/>
      <c r="G11" s="817"/>
      <c r="H11" s="817"/>
      <c r="I11" s="817"/>
      <c r="J11" s="818"/>
    </row>
    <row r="12" spans="5:10" ht="30" x14ac:dyDescent="0.25">
      <c r="E12" s="1" t="s">
        <v>167</v>
      </c>
      <c r="F12" s="1" t="s">
        <v>1759</v>
      </c>
      <c r="G12" s="1" t="s">
        <v>1760</v>
      </c>
      <c r="H12" s="1" t="s">
        <v>1761</v>
      </c>
      <c r="I12" s="1" t="s">
        <v>1762</v>
      </c>
      <c r="J12" s="553" t="s">
        <v>1763</v>
      </c>
    </row>
    <row r="13" spans="5:10" ht="15.75" x14ac:dyDescent="0.25">
      <c r="E13" s="88">
        <v>2008</v>
      </c>
      <c r="F13" s="96">
        <v>0</v>
      </c>
      <c r="G13" s="96">
        <v>0</v>
      </c>
      <c r="H13" s="96">
        <v>0</v>
      </c>
      <c r="I13" s="96">
        <v>0</v>
      </c>
      <c r="J13" s="241">
        <v>17718466042</v>
      </c>
    </row>
    <row r="14" spans="5:10" ht="15.75" x14ac:dyDescent="0.25">
      <c r="E14" s="89">
        <v>2009</v>
      </c>
      <c r="F14" s="96">
        <v>0</v>
      </c>
      <c r="G14" s="96">
        <v>0</v>
      </c>
      <c r="H14" s="96">
        <v>0</v>
      </c>
      <c r="I14" s="96">
        <v>0</v>
      </c>
      <c r="J14" s="241">
        <v>16623629970</v>
      </c>
    </row>
    <row r="15" spans="5:10" ht="15.75" x14ac:dyDescent="0.25">
      <c r="E15" s="89">
        <v>2010</v>
      </c>
      <c r="F15" s="96">
        <v>0</v>
      </c>
      <c r="G15" s="96">
        <v>0</v>
      </c>
      <c r="H15" s="96">
        <v>0</v>
      </c>
      <c r="I15" s="96">
        <v>0</v>
      </c>
      <c r="J15" s="241">
        <v>14560445457</v>
      </c>
    </row>
    <row r="16" spans="5:10" ht="15.75" x14ac:dyDescent="0.25">
      <c r="E16" s="89">
        <v>2011</v>
      </c>
      <c r="F16" s="96">
        <v>0</v>
      </c>
      <c r="G16" s="96">
        <v>0</v>
      </c>
      <c r="H16" s="96">
        <v>0</v>
      </c>
      <c r="I16" s="96">
        <v>0</v>
      </c>
      <c r="J16" s="241">
        <v>13067079244</v>
      </c>
    </row>
    <row r="17" spans="5:10" ht="15.75" x14ac:dyDescent="0.25">
      <c r="E17" s="90">
        <v>2012</v>
      </c>
      <c r="F17" s="96">
        <v>0</v>
      </c>
      <c r="G17" s="96">
        <v>0</v>
      </c>
      <c r="H17" s="96">
        <v>0</v>
      </c>
      <c r="I17" s="96">
        <v>0</v>
      </c>
      <c r="J17" s="241">
        <v>12220784811</v>
      </c>
    </row>
    <row r="18" spans="5:10" ht="15.75" x14ac:dyDescent="0.25">
      <c r="E18" s="90">
        <v>2013</v>
      </c>
      <c r="F18" s="96">
        <v>0</v>
      </c>
      <c r="G18" s="96">
        <v>0</v>
      </c>
      <c r="H18" s="96">
        <v>0</v>
      </c>
      <c r="I18" s="96">
        <v>0</v>
      </c>
      <c r="J18" s="241">
        <v>12067827749</v>
      </c>
    </row>
    <row r="19" spans="5:10" ht="15.75" x14ac:dyDescent="0.25">
      <c r="E19" s="90">
        <v>2014</v>
      </c>
      <c r="F19" s="96">
        <v>0</v>
      </c>
      <c r="G19" s="96">
        <v>0</v>
      </c>
      <c r="H19" s="96">
        <v>0</v>
      </c>
      <c r="I19" s="96">
        <v>0</v>
      </c>
      <c r="J19" s="241">
        <v>12554657072</v>
      </c>
    </row>
    <row r="20" spans="5:10" ht="15.75" x14ac:dyDescent="0.25">
      <c r="E20" s="90">
        <v>2015</v>
      </c>
      <c r="F20" s="96">
        <v>0</v>
      </c>
      <c r="G20" s="96">
        <v>0</v>
      </c>
      <c r="H20" s="96">
        <v>0</v>
      </c>
      <c r="I20" s="96">
        <v>0</v>
      </c>
      <c r="J20" s="241">
        <v>13545991135</v>
      </c>
    </row>
    <row r="21" spans="5:10" ht="15.75" x14ac:dyDescent="0.25">
      <c r="E21" s="90">
        <v>2016</v>
      </c>
      <c r="F21" s="96">
        <v>0</v>
      </c>
      <c r="G21" s="96">
        <v>0</v>
      </c>
      <c r="H21" s="96">
        <v>0</v>
      </c>
      <c r="I21" s="96">
        <v>0</v>
      </c>
      <c r="J21" s="241">
        <v>14687359238</v>
      </c>
    </row>
    <row r="22" spans="5:10" ht="15.75" x14ac:dyDescent="0.25">
      <c r="E22" s="91">
        <v>2017</v>
      </c>
      <c r="F22" s="97">
        <v>0</v>
      </c>
      <c r="G22" s="97">
        <v>0</v>
      </c>
      <c r="H22" s="97">
        <v>0</v>
      </c>
      <c r="I22" s="97">
        <v>0</v>
      </c>
      <c r="J22" s="491">
        <v>15906451780</v>
      </c>
    </row>
    <row r="23" spans="5:10" x14ac:dyDescent="0.25"/>
  </sheetData>
  <sheetProtection password="90F3" sheet="1" objects="1" scenarios="1"/>
  <mergeCells count="3">
    <mergeCell ref="E11:J11"/>
    <mergeCell ref="E8:F8"/>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dimension ref="A1:L19"/>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5" width="35.5703125" style="28" bestFit="1" customWidth="1"/>
    <col min="6" max="6" width="26.140625" style="28" customWidth="1"/>
    <col min="7" max="7" width="22.140625" style="28" customWidth="1"/>
    <col min="8" max="8" width="35.28515625" style="28" customWidth="1"/>
    <col min="9" max="9" width="2.7109375" style="28" customWidth="1"/>
    <col min="10" max="10" width="9.140625" style="28" hidden="1" customWidth="1"/>
    <col min="11" max="12" width="0" style="28" hidden="1" customWidth="1"/>
    <col min="13" max="16384" width="9.140625" style="28" hidden="1"/>
  </cols>
  <sheetData>
    <row r="1" spans="1:10" hidden="1" x14ac:dyDescent="0.25"/>
    <row r="2" spans="1:10" hidden="1" x14ac:dyDescent="0.25"/>
    <row r="3" spans="1:10" hidden="1" x14ac:dyDescent="0.25"/>
    <row r="4" spans="1:10" hidden="1" x14ac:dyDescent="0.25"/>
    <row r="5" spans="1:10" hidden="1" x14ac:dyDescent="0.25"/>
    <row r="6" spans="1:10" hidden="1" x14ac:dyDescent="0.25"/>
    <row r="7" spans="1:10" hidden="1" x14ac:dyDescent="0.25"/>
    <row r="8" spans="1:10" ht="31.5" hidden="1" customHeight="1" x14ac:dyDescent="0.25">
      <c r="E8" s="813"/>
      <c r="F8" s="813"/>
    </row>
    <row r="9" spans="1:10" ht="36.950000000000003" customHeight="1" x14ac:dyDescent="0.25"/>
    <row r="10" spans="1:10" ht="20.100000000000001" customHeight="1" x14ac:dyDescent="0.25">
      <c r="E10" s="676" t="s">
        <v>168</v>
      </c>
      <c r="F10" s="677"/>
      <c r="G10" s="678"/>
      <c r="H10" s="406" t="str">
        <f>TEXT(DATE('General Info'!$G$11,VALUE('General Info'!$E$11),'General Info'!$F$11),"MMMM DD, YYYY")</f>
        <v>September 30, 2017</v>
      </c>
    </row>
    <row r="11" spans="1:10" ht="30" x14ac:dyDescent="0.25">
      <c r="E11" s="407" t="s">
        <v>169</v>
      </c>
      <c r="F11" s="553" t="s">
        <v>1780</v>
      </c>
      <c r="G11" s="553" t="s">
        <v>170</v>
      </c>
      <c r="H11" s="553" t="s">
        <v>1781</v>
      </c>
    </row>
    <row r="12" spans="1:10" ht="20.100000000000001" customHeight="1" x14ac:dyDescent="0.25">
      <c r="E12" s="2" t="s">
        <v>171</v>
      </c>
      <c r="F12" s="670" t="s">
        <v>172</v>
      </c>
      <c r="G12" s="671"/>
      <c r="H12" s="672"/>
    </row>
    <row r="13" spans="1:10" x14ac:dyDescent="0.25">
      <c r="E13" s="259" t="s">
        <v>173</v>
      </c>
      <c r="F13" s="470">
        <v>13200092</v>
      </c>
      <c r="G13" s="492">
        <v>0.26989999999999997</v>
      </c>
      <c r="H13" s="470">
        <v>3553465</v>
      </c>
      <c r="J13" s="260"/>
    </row>
    <row r="14" spans="1:10" x14ac:dyDescent="0.25">
      <c r="E14" s="261" t="s">
        <v>174</v>
      </c>
      <c r="F14" s="472">
        <v>9456613</v>
      </c>
      <c r="G14" s="493">
        <v>0.26989999999999997</v>
      </c>
      <c r="H14" s="472">
        <v>2545720</v>
      </c>
    </row>
    <row r="15" spans="1:10" ht="20.100000000000001" customHeight="1" x14ac:dyDescent="0.25">
      <c r="A15" s="355"/>
      <c r="B15" s="355"/>
      <c r="C15" s="355"/>
      <c r="D15" s="355"/>
      <c r="E15" s="822" t="s">
        <v>1782</v>
      </c>
      <c r="F15" s="825"/>
      <c r="G15" s="826"/>
      <c r="H15" s="86">
        <f>IF(COUNT(H13:H14),SUM(H13:H14),"")</f>
        <v>6099185</v>
      </c>
    </row>
    <row r="16" spans="1:10" ht="20.100000000000001" customHeight="1" x14ac:dyDescent="0.25">
      <c r="A16" s="355"/>
      <c r="B16" s="355"/>
      <c r="C16" s="355"/>
      <c r="D16" s="355"/>
      <c r="E16" s="822" t="s">
        <v>1783</v>
      </c>
      <c r="F16" s="823"/>
      <c r="G16" s="824"/>
      <c r="H16" s="622">
        <v>139869000</v>
      </c>
    </row>
    <row r="17" spans="1:8" ht="20.100000000000001" customHeight="1" x14ac:dyDescent="0.25">
      <c r="A17" s="355"/>
      <c r="B17" s="355"/>
      <c r="C17" s="355"/>
      <c r="D17" s="355"/>
      <c r="E17" s="822" t="s">
        <v>1784</v>
      </c>
      <c r="F17" s="823"/>
      <c r="G17" s="824"/>
      <c r="H17" s="15">
        <f>IF(COUNT(H15:H16),SUM(H15:H16),"")</f>
        <v>145968185</v>
      </c>
    </row>
    <row r="18" spans="1:8" x14ac:dyDescent="0.25"/>
    <row r="19" spans="1:8" hidden="1" x14ac:dyDescent="0.25"/>
  </sheetData>
  <sheetProtection algorithmName="SHA-512" hashValue="Z2j+F47zb1TlJgu0PxM6I4cKTIdIDAjeZx0f4XQtSliuBFXejsPWNeh56N7UZ5Cz3JhkrPn2pfLW1LLD91f3Zw==" saltValue="DJ2lOCXX3HyoMYcJ0t7D/Q==" spinCount="100000" sheet="1" objects="1" scenarios="1"/>
  <mergeCells count="6">
    <mergeCell ref="E17:G17"/>
    <mergeCell ref="E8:F8"/>
    <mergeCell ref="F12:H12"/>
    <mergeCell ref="E15:G15"/>
    <mergeCell ref="E16:G16"/>
    <mergeCell ref="E10:G10"/>
  </mergeCell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dimension ref="D1:P41"/>
  <sheetViews>
    <sheetView showGridLines="0" topLeftCell="D9" workbookViewId="0">
      <selection activeCell="D9" sqref="D9"/>
    </sheetView>
  </sheetViews>
  <sheetFormatPr defaultColWidth="0" defaultRowHeight="13.5" customHeight="1" zeroHeight="1" x14ac:dyDescent="0.25"/>
  <cols>
    <col min="1" max="3" width="9.140625" style="28" hidden="1" customWidth="1"/>
    <col min="4" max="4" width="2.7109375" style="28" customWidth="1"/>
    <col min="5" max="6" width="17" style="52" customWidth="1"/>
    <col min="7" max="7" width="17.28515625" style="52" customWidth="1"/>
    <col min="8" max="8" width="16.7109375" style="52" customWidth="1"/>
    <col min="9" max="9" width="26.5703125" style="52" customWidth="1"/>
    <col min="10" max="10" width="2.7109375" style="28" customWidth="1"/>
    <col min="11" max="16" width="0" style="28" hidden="1" customWidth="1"/>
    <col min="17" max="16384" width="9.140625" style="28" hidden="1"/>
  </cols>
  <sheetData>
    <row r="1" spans="5:13" ht="13.5" hidden="1" customHeight="1" x14ac:dyDescent="0.25"/>
    <row r="2" spans="5:13" ht="13.5" hidden="1" customHeight="1" x14ac:dyDescent="0.25"/>
    <row r="3" spans="5:13" ht="13.5" hidden="1" customHeight="1" x14ac:dyDescent="0.25"/>
    <row r="4" spans="5:13" ht="13.5" hidden="1" customHeight="1" x14ac:dyDescent="0.25"/>
    <row r="5" spans="5:13" ht="13.5" hidden="1" customHeight="1" x14ac:dyDescent="0.25"/>
    <row r="6" spans="5:13" ht="2.1" hidden="1" customHeight="1" x14ac:dyDescent="0.25"/>
    <row r="7" spans="5:13" ht="27" hidden="1" customHeight="1" x14ac:dyDescent="0.25">
      <c r="E7" s="813"/>
      <c r="F7" s="813"/>
    </row>
    <row r="8" spans="5:13" ht="13.5" hidden="1" customHeight="1" x14ac:dyDescent="0.25"/>
    <row r="9" spans="5:13" ht="36.950000000000003" customHeight="1" x14ac:dyDescent="0.25">
      <c r="G9" s="98"/>
    </row>
    <row r="10" spans="5:13" ht="20.100000000000001" customHeight="1" x14ac:dyDescent="0.25">
      <c r="E10" s="807" t="s">
        <v>1</v>
      </c>
      <c r="F10" s="828" t="s">
        <v>175</v>
      </c>
      <c r="G10" s="828"/>
      <c r="H10" s="828"/>
      <c r="I10" s="834" t="s">
        <v>346</v>
      </c>
    </row>
    <row r="11" spans="5:13" ht="15" customHeight="1" x14ac:dyDescent="0.25">
      <c r="E11" s="808"/>
      <c r="F11" s="829"/>
      <c r="G11" s="829"/>
      <c r="H11" s="829"/>
      <c r="I11" s="835"/>
    </row>
    <row r="12" spans="5:13" ht="20.100000000000001" customHeight="1" x14ac:dyDescent="0.25">
      <c r="E12" s="827"/>
      <c r="F12" s="836" t="s">
        <v>176</v>
      </c>
      <c r="G12" s="836"/>
      <c r="H12" s="836"/>
      <c r="I12" s="836"/>
      <c r="M12" s="80"/>
    </row>
    <row r="13" spans="5:13" ht="18" customHeight="1" x14ac:dyDescent="0.25">
      <c r="E13" s="840" t="s">
        <v>177</v>
      </c>
      <c r="F13" s="841"/>
      <c r="G13" s="841"/>
      <c r="H13" s="842"/>
      <c r="I13" s="494">
        <v>15906451780</v>
      </c>
      <c r="M13" s="80"/>
    </row>
    <row r="14" spans="5:13" ht="18" customHeight="1" x14ac:dyDescent="0.25">
      <c r="E14" s="843" t="s">
        <v>726</v>
      </c>
      <c r="F14" s="844"/>
      <c r="G14" s="844"/>
      <c r="H14" s="845"/>
      <c r="I14" s="495">
        <v>0.125</v>
      </c>
      <c r="M14" s="80"/>
    </row>
    <row r="15" spans="5:13" ht="18" customHeight="1" x14ac:dyDescent="0.25">
      <c r="E15" s="837" t="s">
        <v>727</v>
      </c>
      <c r="F15" s="838"/>
      <c r="G15" s="838"/>
      <c r="H15" s="839"/>
      <c r="I15" s="496">
        <f>ROUND(I13*I14,0)</f>
        <v>1988306473</v>
      </c>
      <c r="M15" s="80"/>
    </row>
    <row r="16" spans="5:13" ht="18" customHeight="1" x14ac:dyDescent="0.25">
      <c r="E16" s="837" t="s">
        <v>178</v>
      </c>
      <c r="F16" s="838"/>
      <c r="G16" s="838"/>
      <c r="H16" s="839"/>
      <c r="I16" s="497">
        <v>0</v>
      </c>
      <c r="M16" s="80"/>
    </row>
    <row r="17" spans="5:13" ht="18" customHeight="1" x14ac:dyDescent="0.25">
      <c r="E17" s="830" t="s">
        <v>179</v>
      </c>
      <c r="F17" s="831"/>
      <c r="G17" s="831"/>
      <c r="H17" s="832"/>
      <c r="I17" s="498">
        <f>I15-I16</f>
        <v>1988306473</v>
      </c>
      <c r="M17" s="80"/>
    </row>
    <row r="18" spans="5:13" ht="49.5" customHeight="1" x14ac:dyDescent="0.25">
      <c r="E18" s="500" t="s">
        <v>180</v>
      </c>
      <c r="F18" s="500" t="s">
        <v>181</v>
      </c>
      <c r="G18" s="500" t="s">
        <v>182</v>
      </c>
      <c r="H18" s="500" t="s">
        <v>183</v>
      </c>
      <c r="I18" s="500" t="s">
        <v>184</v>
      </c>
      <c r="J18" s="80"/>
      <c r="K18" s="80"/>
    </row>
    <row r="19" spans="5:13" ht="13.5" customHeight="1" x14ac:dyDescent="0.25">
      <c r="E19" s="499">
        <v>2008</v>
      </c>
      <c r="F19" s="501">
        <v>2214808255</v>
      </c>
      <c r="G19" s="501">
        <v>0</v>
      </c>
      <c r="H19" s="501">
        <v>2214808255</v>
      </c>
      <c r="I19" s="501">
        <v>0</v>
      </c>
      <c r="J19" s="80"/>
      <c r="K19" s="80"/>
    </row>
    <row r="20" spans="5:13" ht="13.5" customHeight="1" x14ac:dyDescent="0.25">
      <c r="E20" s="99">
        <v>2009</v>
      </c>
      <c r="F20" s="502">
        <v>2077953746</v>
      </c>
      <c r="G20" s="502">
        <v>0</v>
      </c>
      <c r="H20" s="502">
        <v>2077953746</v>
      </c>
      <c r="I20" s="502">
        <v>0</v>
      </c>
      <c r="J20" s="80"/>
      <c r="K20" s="80"/>
    </row>
    <row r="21" spans="5:13" ht="13.5" customHeight="1" x14ac:dyDescent="0.25">
      <c r="E21" s="99">
        <v>2010</v>
      </c>
      <c r="F21" s="502">
        <v>1820055682</v>
      </c>
      <c r="G21" s="502">
        <v>0</v>
      </c>
      <c r="H21" s="502">
        <v>1820055682</v>
      </c>
      <c r="I21" s="502">
        <v>0</v>
      </c>
      <c r="J21" s="80"/>
      <c r="K21" s="80"/>
    </row>
    <row r="22" spans="5:13" ht="13.5" customHeight="1" x14ac:dyDescent="0.25">
      <c r="E22" s="99">
        <v>2011</v>
      </c>
      <c r="F22" s="502">
        <v>1633384906</v>
      </c>
      <c r="G22" s="502">
        <v>0</v>
      </c>
      <c r="H22" s="502">
        <v>1633384906</v>
      </c>
      <c r="I22" s="502">
        <v>0</v>
      </c>
      <c r="J22" s="80"/>
      <c r="K22" s="80"/>
    </row>
    <row r="23" spans="5:13" ht="13.5" customHeight="1" x14ac:dyDescent="0.25">
      <c r="E23" s="99">
        <v>2012</v>
      </c>
      <c r="F23" s="502">
        <v>1527598101</v>
      </c>
      <c r="G23" s="502">
        <v>0</v>
      </c>
      <c r="H23" s="502">
        <v>1527598101</v>
      </c>
      <c r="I23" s="502">
        <v>0</v>
      </c>
      <c r="J23" s="80"/>
      <c r="K23" s="80"/>
    </row>
    <row r="24" spans="5:13" ht="13.5" customHeight="1" x14ac:dyDescent="0.25">
      <c r="E24" s="99">
        <v>2013</v>
      </c>
      <c r="F24" s="502">
        <v>1508478469</v>
      </c>
      <c r="G24" s="502">
        <v>0</v>
      </c>
      <c r="H24" s="502">
        <v>1508478469</v>
      </c>
      <c r="I24" s="502">
        <v>0</v>
      </c>
      <c r="J24" s="80"/>
      <c r="K24" s="80"/>
    </row>
    <row r="25" spans="5:13" ht="13.5" customHeight="1" x14ac:dyDescent="0.25">
      <c r="E25" s="99">
        <v>2014</v>
      </c>
      <c r="F25" s="502">
        <v>1569332134</v>
      </c>
      <c r="G25" s="502">
        <v>0</v>
      </c>
      <c r="H25" s="502">
        <v>1569332134</v>
      </c>
      <c r="I25" s="502">
        <v>0</v>
      </c>
      <c r="J25" s="80"/>
      <c r="K25" s="80"/>
    </row>
    <row r="26" spans="5:13" ht="13.5" customHeight="1" x14ac:dyDescent="0.25">
      <c r="E26" s="99">
        <v>2015</v>
      </c>
      <c r="F26" s="502">
        <v>1693248892</v>
      </c>
      <c r="G26" s="502">
        <v>0</v>
      </c>
      <c r="H26" s="502">
        <v>1693248892</v>
      </c>
      <c r="I26" s="502">
        <v>0</v>
      </c>
      <c r="J26" s="80"/>
      <c r="K26" s="80"/>
    </row>
    <row r="27" spans="5:13" ht="13.5" customHeight="1" x14ac:dyDescent="0.25">
      <c r="E27" s="99">
        <v>2016</v>
      </c>
      <c r="F27" s="502">
        <v>1835919905</v>
      </c>
      <c r="G27" s="502">
        <v>0</v>
      </c>
      <c r="H27" s="502">
        <v>1835919905</v>
      </c>
      <c r="I27" s="502">
        <v>0</v>
      </c>
      <c r="J27" s="80"/>
      <c r="K27" s="80"/>
    </row>
    <row r="28" spans="5:13" ht="13.5" customHeight="1" x14ac:dyDescent="0.25">
      <c r="E28" s="100">
        <v>2017</v>
      </c>
      <c r="F28" s="503">
        <v>1988306473</v>
      </c>
      <c r="G28" s="503">
        <v>0</v>
      </c>
      <c r="H28" s="503">
        <v>1988306473</v>
      </c>
      <c r="I28" s="503">
        <v>0</v>
      </c>
      <c r="J28" s="80"/>
      <c r="K28" s="80"/>
    </row>
    <row r="29" spans="5:13" ht="13.5" customHeight="1" x14ac:dyDescent="0.25">
      <c r="E29" s="101"/>
      <c r="F29" s="101"/>
      <c r="G29" s="101"/>
      <c r="H29" s="101"/>
      <c r="I29" s="101"/>
      <c r="J29" s="80"/>
      <c r="K29" s="80"/>
    </row>
    <row r="30" spans="5:13" ht="13.5" hidden="1" customHeight="1" x14ac:dyDescent="0.25">
      <c r="E30" s="101"/>
      <c r="F30" s="101"/>
      <c r="G30" s="101"/>
      <c r="H30" s="101"/>
      <c r="I30" s="101"/>
      <c r="J30" s="80"/>
      <c r="K30" s="80"/>
    </row>
    <row r="31" spans="5:13" ht="13.5" hidden="1" customHeight="1" x14ac:dyDescent="0.25">
      <c r="E31" s="101"/>
      <c r="F31" s="101"/>
      <c r="G31" s="101"/>
      <c r="H31" s="101"/>
      <c r="I31" s="101"/>
      <c r="J31" s="80"/>
      <c r="K31" s="80"/>
    </row>
    <row r="32" spans="5:13" ht="13.5" hidden="1" customHeight="1" x14ac:dyDescent="0.25">
      <c r="E32" s="101"/>
      <c r="F32" s="101"/>
      <c r="G32" s="101"/>
      <c r="H32" s="101"/>
      <c r="I32" s="101"/>
      <c r="J32" s="80"/>
      <c r="K32" s="80"/>
    </row>
    <row r="33" spans="5:11" ht="13.5" hidden="1" customHeight="1" x14ac:dyDescent="0.25">
      <c r="E33" s="101"/>
      <c r="F33" s="101"/>
      <c r="G33" s="101"/>
      <c r="H33" s="101"/>
      <c r="I33" s="101"/>
      <c r="J33" s="80"/>
      <c r="K33" s="80"/>
    </row>
    <row r="34" spans="5:11" ht="13.5" hidden="1" customHeight="1" x14ac:dyDescent="0.25">
      <c r="E34" s="101"/>
      <c r="F34" s="101"/>
      <c r="G34" s="101"/>
      <c r="H34" s="101"/>
      <c r="I34" s="101"/>
      <c r="J34" s="80"/>
      <c r="K34" s="80"/>
    </row>
    <row r="35" spans="5:11" ht="13.5" hidden="1" customHeight="1" x14ac:dyDescent="0.25">
      <c r="E35" s="101"/>
      <c r="F35" s="101"/>
      <c r="G35" s="101"/>
      <c r="H35" s="101"/>
      <c r="I35" s="101"/>
      <c r="J35" s="80"/>
      <c r="K35" s="80"/>
    </row>
    <row r="36" spans="5:11" ht="13.5" hidden="1" customHeight="1" x14ac:dyDescent="0.25">
      <c r="E36" s="101"/>
      <c r="F36" s="101"/>
      <c r="G36" s="101"/>
      <c r="H36" s="101"/>
      <c r="I36" s="101"/>
      <c r="J36" s="80"/>
      <c r="K36" s="80"/>
    </row>
    <row r="37" spans="5:11" ht="13.5" hidden="1" customHeight="1" x14ac:dyDescent="0.25">
      <c r="E37" s="101"/>
      <c r="F37" s="101"/>
      <c r="G37" s="101"/>
      <c r="H37" s="101"/>
      <c r="I37" s="101"/>
      <c r="J37" s="80"/>
      <c r="K37" s="80"/>
    </row>
    <row r="38" spans="5:11" ht="13.5" hidden="1" customHeight="1" x14ac:dyDescent="0.25">
      <c r="E38" s="101"/>
      <c r="F38" s="101"/>
      <c r="G38" s="101"/>
      <c r="H38" s="101"/>
      <c r="I38" s="101"/>
      <c r="J38" s="80"/>
      <c r="K38" s="80"/>
    </row>
    <row r="39" spans="5:11" ht="13.5" hidden="1" customHeight="1" x14ac:dyDescent="0.25">
      <c r="E39" s="101"/>
      <c r="F39" s="101"/>
      <c r="G39" s="101"/>
      <c r="H39" s="101"/>
      <c r="I39" s="101"/>
      <c r="J39" s="80"/>
      <c r="K39" s="80"/>
    </row>
    <row r="40" spans="5:11" ht="13.5" hidden="1" customHeight="1" thickBot="1" x14ac:dyDescent="0.3">
      <c r="E40" s="101" t="s">
        <v>185</v>
      </c>
      <c r="F40" s="101"/>
      <c r="G40" s="101"/>
      <c r="H40" s="101"/>
      <c r="I40" s="101"/>
      <c r="J40" s="833"/>
      <c r="K40" s="833"/>
    </row>
    <row r="41" spans="5:11" ht="13.5" hidden="1" customHeight="1" x14ac:dyDescent="0.25"/>
  </sheetData>
  <sheetProtection password="90F3" sheet="1" objects="1" scenarios="1"/>
  <mergeCells count="11">
    <mergeCell ref="E7:F7"/>
    <mergeCell ref="E10:E12"/>
    <mergeCell ref="F10:H11"/>
    <mergeCell ref="E17:H17"/>
    <mergeCell ref="J40:K40"/>
    <mergeCell ref="I10:I11"/>
    <mergeCell ref="F12:I12"/>
    <mergeCell ref="E15:H15"/>
    <mergeCell ref="E16:H16"/>
    <mergeCell ref="E13:H13"/>
    <mergeCell ref="E14:H14"/>
  </mergeCell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dimension ref="A1:XFC56"/>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8" width="16.7109375" style="28" customWidth="1"/>
    <col min="9" max="9" width="20" style="28" customWidth="1"/>
    <col min="10" max="11" width="16.7109375" style="28" customWidth="1"/>
    <col min="12" max="12" width="2.7109375" style="28" customWidth="1"/>
    <col min="13" max="16383" width="9.140625" style="28" hidden="1"/>
    <col min="16384" max="16384" width="20.7109375" style="28"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27" hidden="1" customHeight="1" x14ac:dyDescent="0.25">
      <c r="E8" s="813"/>
      <c r="F8" s="813"/>
    </row>
    <row r="9" spans="5:9" ht="36.950000000000003" customHeight="1" x14ac:dyDescent="0.25"/>
    <row r="10" spans="5:9" ht="20.100000000000001" customHeight="1" x14ac:dyDescent="0.25">
      <c r="E10" s="676" t="s">
        <v>186</v>
      </c>
      <c r="F10" s="677"/>
      <c r="G10" s="677"/>
      <c r="H10" s="677"/>
      <c r="I10" s="412" t="str">
        <f>TEXT(DATE('General Info'!$G$11,VALUE('General Info'!$E$11),'General Info'!$F$11),"MMMM DD, YYYY")</f>
        <v>September 30, 2017</v>
      </c>
    </row>
    <row r="11" spans="5:9" ht="20.100000000000001" customHeight="1" x14ac:dyDescent="0.25">
      <c r="E11" s="785" t="s">
        <v>187</v>
      </c>
      <c r="F11" s="785"/>
      <c r="G11" s="785"/>
      <c r="H11" s="785"/>
      <c r="I11" s="785"/>
    </row>
    <row r="12" spans="5:9" ht="20.100000000000001" customHeight="1" x14ac:dyDescent="0.25">
      <c r="E12" s="785" t="s">
        <v>188</v>
      </c>
      <c r="F12" s="682" t="s">
        <v>189</v>
      </c>
      <c r="G12" s="785" t="s">
        <v>190</v>
      </c>
      <c r="H12" s="785"/>
      <c r="I12" s="682" t="s">
        <v>191</v>
      </c>
    </row>
    <row r="13" spans="5:9" ht="20.100000000000001" customHeight="1" x14ac:dyDescent="0.25">
      <c r="E13" s="785"/>
      <c r="F13" s="683"/>
      <c r="G13" s="54" t="s">
        <v>192</v>
      </c>
      <c r="H13" s="54" t="s">
        <v>1821</v>
      </c>
      <c r="I13" s="683"/>
    </row>
    <row r="14" spans="5:9" x14ac:dyDescent="0.25">
      <c r="E14" s="262">
        <v>2013</v>
      </c>
      <c r="F14" s="504">
        <v>2000237</v>
      </c>
      <c r="G14" s="470">
        <v>1085000</v>
      </c>
      <c r="H14" s="470">
        <v>825538</v>
      </c>
      <c r="I14" s="505">
        <f>IFERROR(F14/(G14+H14),0)</f>
        <v>1.046949602677361</v>
      </c>
    </row>
    <row r="15" spans="5:9" x14ac:dyDescent="0.25">
      <c r="E15" s="94">
        <v>2014</v>
      </c>
      <c r="F15" s="506">
        <v>2000143</v>
      </c>
      <c r="G15" s="452">
        <v>1120000</v>
      </c>
      <c r="H15" s="452">
        <v>786950</v>
      </c>
      <c r="I15" s="507">
        <f>IFERROR(F15/(G15+H15),0)</f>
        <v>1.048870185374551</v>
      </c>
    </row>
    <row r="16" spans="5:9" x14ac:dyDescent="0.25">
      <c r="E16" s="94">
        <v>2015</v>
      </c>
      <c r="F16" s="506">
        <v>0</v>
      </c>
      <c r="G16" s="452">
        <v>0</v>
      </c>
      <c r="H16" s="452">
        <v>0</v>
      </c>
      <c r="I16" s="507">
        <f>IFERROR(F16/(G16+H16),0)</f>
        <v>0</v>
      </c>
    </row>
    <row r="17" spans="5:9" x14ac:dyDescent="0.25">
      <c r="E17" s="94">
        <v>2016</v>
      </c>
      <c r="F17" s="506">
        <v>0</v>
      </c>
      <c r="G17" s="452">
        <v>0</v>
      </c>
      <c r="H17" s="452">
        <v>0</v>
      </c>
      <c r="I17" s="507">
        <f>IFERROR(F17/(G17+H17),0)</f>
        <v>0</v>
      </c>
    </row>
    <row r="18" spans="5:9" x14ac:dyDescent="0.25">
      <c r="E18" s="95">
        <v>2017</v>
      </c>
      <c r="F18" s="508">
        <v>0</v>
      </c>
      <c r="G18" s="472">
        <v>0</v>
      </c>
      <c r="H18" s="472">
        <v>0</v>
      </c>
      <c r="I18" s="509">
        <f>IFERROR(F18/(G18+H18),0)</f>
        <v>0</v>
      </c>
    </row>
    <row r="19" spans="5:9" x14ac:dyDescent="0.25"/>
    <row r="20" spans="5:9" ht="20.100000000000001" customHeight="1" x14ac:dyDescent="0.25">
      <c r="E20" s="785" t="s">
        <v>193</v>
      </c>
      <c r="F20" s="785"/>
      <c r="G20" s="785"/>
      <c r="H20" s="785"/>
      <c r="I20" s="785"/>
    </row>
    <row r="21" spans="5:9" ht="20.100000000000001" customHeight="1" x14ac:dyDescent="0.25">
      <c r="E21" s="785" t="s">
        <v>188</v>
      </c>
      <c r="F21" s="682" t="s">
        <v>1808</v>
      </c>
      <c r="G21" s="785" t="s">
        <v>190</v>
      </c>
      <c r="H21" s="785"/>
      <c r="I21" s="682" t="s">
        <v>1810</v>
      </c>
    </row>
    <row r="22" spans="5:9" ht="20.100000000000001" customHeight="1" x14ac:dyDescent="0.25">
      <c r="E22" s="682"/>
      <c r="F22" s="683"/>
      <c r="G22" s="269" t="s">
        <v>1809</v>
      </c>
      <c r="H22" s="269" t="s">
        <v>1822</v>
      </c>
      <c r="I22" s="683"/>
    </row>
    <row r="23" spans="5:9" x14ac:dyDescent="0.25">
      <c r="E23" s="262">
        <v>2013</v>
      </c>
      <c r="F23" s="504">
        <v>0</v>
      </c>
      <c r="G23" s="470">
        <v>0</v>
      </c>
      <c r="H23" s="470">
        <v>0</v>
      </c>
      <c r="I23" s="505">
        <f>IFERROR(F23/(G23+H23),0)</f>
        <v>0</v>
      </c>
    </row>
    <row r="24" spans="5:9" x14ac:dyDescent="0.25">
      <c r="E24" s="94">
        <v>2014</v>
      </c>
      <c r="F24" s="506">
        <v>0</v>
      </c>
      <c r="G24" s="452">
        <v>0</v>
      </c>
      <c r="H24" s="452">
        <v>0</v>
      </c>
      <c r="I24" s="507">
        <f>IFERROR(F24/(G24+H24),0)</f>
        <v>0</v>
      </c>
    </row>
    <row r="25" spans="5:9" x14ac:dyDescent="0.25">
      <c r="E25" s="94">
        <v>2015</v>
      </c>
      <c r="F25" s="506">
        <v>2000004</v>
      </c>
      <c r="G25" s="452">
        <v>0</v>
      </c>
      <c r="H25" s="452">
        <v>286495</v>
      </c>
      <c r="I25" s="507">
        <f>IFERROR(F25/(G25+H25),0)</f>
        <v>6.9809385853156254</v>
      </c>
    </row>
    <row r="26" spans="5:9" x14ac:dyDescent="0.25">
      <c r="E26" s="94">
        <v>2016</v>
      </c>
      <c r="F26" s="506">
        <v>2000004</v>
      </c>
      <c r="G26" s="452">
        <v>0</v>
      </c>
      <c r="H26" s="452">
        <v>429742</v>
      </c>
      <c r="I26" s="507">
        <f>IFERROR(F26/(G26+H26),0)</f>
        <v>4.6539644717062796</v>
      </c>
    </row>
    <row r="27" spans="5:9" x14ac:dyDescent="0.25">
      <c r="E27" s="95">
        <v>2017</v>
      </c>
      <c r="F27" s="508">
        <v>2000004</v>
      </c>
      <c r="G27" s="472">
        <v>1495000</v>
      </c>
      <c r="H27" s="472">
        <v>410083</v>
      </c>
      <c r="I27" s="509">
        <f>IFERROR(F27/(G27+H27),0)</f>
        <v>1.0498251257294302</v>
      </c>
    </row>
    <row r="28" spans="5:9" x14ac:dyDescent="0.25"/>
    <row r="29" spans="5:9" ht="20.100000000000001" customHeight="1" x14ac:dyDescent="0.25">
      <c r="E29" s="785" t="s">
        <v>194</v>
      </c>
      <c r="F29" s="785"/>
      <c r="G29" s="785"/>
      <c r="H29" s="785"/>
      <c r="I29" s="785"/>
    </row>
    <row r="30" spans="5:9" ht="20.100000000000001" customHeight="1" x14ac:dyDescent="0.25">
      <c r="E30" s="785" t="s">
        <v>188</v>
      </c>
      <c r="F30" s="682" t="s">
        <v>1811</v>
      </c>
      <c r="G30" s="785" t="s">
        <v>190</v>
      </c>
      <c r="H30" s="785"/>
      <c r="I30" s="682" t="s">
        <v>1813</v>
      </c>
    </row>
    <row r="31" spans="5:9" ht="20.100000000000001" customHeight="1" x14ac:dyDescent="0.25">
      <c r="E31" s="785"/>
      <c r="F31" s="683"/>
      <c r="G31" s="54" t="s">
        <v>1812</v>
      </c>
      <c r="H31" s="54" t="s">
        <v>1823</v>
      </c>
      <c r="I31" s="683"/>
    </row>
    <row r="32" spans="5:9" x14ac:dyDescent="0.25">
      <c r="E32" s="262">
        <v>2013</v>
      </c>
      <c r="F32" s="263">
        <v>22492452</v>
      </c>
      <c r="G32" s="74">
        <v>7030000</v>
      </c>
      <c r="H32" s="74">
        <v>1336858</v>
      </c>
      <c r="I32" s="264">
        <f>IFERROR(F32/(G32+H32),0)</f>
        <v>2.6882793995069596</v>
      </c>
    </row>
    <row r="33" spans="5:11" x14ac:dyDescent="0.25">
      <c r="E33" s="94">
        <v>2014</v>
      </c>
      <c r="F33" s="265">
        <v>24533313</v>
      </c>
      <c r="G33" s="65">
        <v>7390000</v>
      </c>
      <c r="H33" s="65">
        <v>965543</v>
      </c>
      <c r="I33" s="266">
        <f>IFERROR(F33/(G33+H33),0)</f>
        <v>2.9361721913225747</v>
      </c>
    </row>
    <row r="34" spans="5:11" x14ac:dyDescent="0.25">
      <c r="E34" s="94">
        <v>2015</v>
      </c>
      <c r="F34" s="265">
        <v>26066386</v>
      </c>
      <c r="G34" s="65">
        <v>7770000</v>
      </c>
      <c r="H34" s="65">
        <v>581000</v>
      </c>
      <c r="I34" s="266">
        <f>IFERROR(F34/(G34+H34),0)</f>
        <v>3.1213490599928151</v>
      </c>
    </row>
    <row r="35" spans="5:11" x14ac:dyDescent="0.25">
      <c r="E35" s="94">
        <v>2016</v>
      </c>
      <c r="F35" s="265">
        <v>18989330</v>
      </c>
      <c r="G35" s="65">
        <v>7735000</v>
      </c>
      <c r="H35" s="65">
        <v>193374</v>
      </c>
      <c r="I35" s="266">
        <f>IFERROR(F35/(G35+H35),0)</f>
        <v>2.3951102710341363</v>
      </c>
    </row>
    <row r="36" spans="5:11" x14ac:dyDescent="0.25">
      <c r="E36" s="95">
        <v>2017</v>
      </c>
      <c r="F36" s="267">
        <v>0</v>
      </c>
      <c r="G36" s="75">
        <v>0</v>
      </c>
      <c r="H36" s="75">
        <v>0</v>
      </c>
      <c r="I36" s="268">
        <f>IFERROR(F36/(G36+H36),0)</f>
        <v>0</v>
      </c>
    </row>
    <row r="37" spans="5:11" x14ac:dyDescent="0.25"/>
    <row r="38" spans="5:11" ht="20.100000000000001" customHeight="1" x14ac:dyDescent="0.25">
      <c r="E38" s="785" t="s">
        <v>195</v>
      </c>
      <c r="F38" s="785"/>
      <c r="G38" s="785"/>
      <c r="H38" s="785"/>
      <c r="I38" s="785"/>
    </row>
    <row r="39" spans="5:11" ht="20.100000000000001" customHeight="1" x14ac:dyDescent="0.25">
      <c r="E39" s="785" t="s">
        <v>188</v>
      </c>
      <c r="F39" s="682" t="s">
        <v>1814</v>
      </c>
      <c r="G39" s="785" t="s">
        <v>190</v>
      </c>
      <c r="H39" s="785"/>
      <c r="I39" s="682" t="s">
        <v>1817</v>
      </c>
    </row>
    <row r="40" spans="5:11" ht="20.100000000000001" customHeight="1" x14ac:dyDescent="0.25">
      <c r="E40" s="785"/>
      <c r="F40" s="683"/>
      <c r="G40" s="54" t="s">
        <v>1815</v>
      </c>
      <c r="H40" s="54" t="s">
        <v>1816</v>
      </c>
      <c r="I40" s="683"/>
    </row>
    <row r="41" spans="5:11" x14ac:dyDescent="0.25">
      <c r="E41" s="262">
        <v>2013</v>
      </c>
      <c r="F41" s="263">
        <v>25755347</v>
      </c>
      <c r="G41" s="74">
        <v>0</v>
      </c>
      <c r="H41" s="74">
        <v>0</v>
      </c>
      <c r="I41" s="264">
        <f>IFERROR(F41/(G41+H41),0)</f>
        <v>0</v>
      </c>
    </row>
    <row r="42" spans="5:11" x14ac:dyDescent="0.25">
      <c r="E42" s="94">
        <v>2014</v>
      </c>
      <c r="F42" s="265">
        <v>27309432</v>
      </c>
      <c r="G42" s="65">
        <v>0</v>
      </c>
      <c r="H42" s="65">
        <v>0</v>
      </c>
      <c r="I42" s="266">
        <f>IFERROR(F42/(G42+H42),0)</f>
        <v>0</v>
      </c>
    </row>
    <row r="43" spans="5:11" x14ac:dyDescent="0.25">
      <c r="E43" s="94">
        <v>2015</v>
      </c>
      <c r="F43" s="265">
        <v>26774215</v>
      </c>
      <c r="G43" s="65">
        <v>0</v>
      </c>
      <c r="H43" s="65">
        <v>0</v>
      </c>
      <c r="I43" s="266">
        <f>IFERROR(F43/(G43+H43),0)</f>
        <v>0</v>
      </c>
    </row>
    <row r="44" spans="5:11" x14ac:dyDescent="0.25">
      <c r="E44" s="94">
        <v>2016</v>
      </c>
      <c r="F44" s="265">
        <v>27599020</v>
      </c>
      <c r="G44" s="65">
        <v>0</v>
      </c>
      <c r="H44" s="65">
        <v>0</v>
      </c>
      <c r="I44" s="266">
        <f>IFERROR(F44/(G44+H44),0)</f>
        <v>0</v>
      </c>
    </row>
    <row r="45" spans="5:11" x14ac:dyDescent="0.25">
      <c r="E45" s="95">
        <v>2017</v>
      </c>
      <c r="F45" s="267">
        <v>27645800</v>
      </c>
      <c r="G45" s="75">
        <v>400000</v>
      </c>
      <c r="H45" s="75">
        <v>2033358</v>
      </c>
      <c r="I45" s="268">
        <f>IFERROR(F45/(G45+H45),0)</f>
        <v>11.361172503182845</v>
      </c>
    </row>
    <row r="46" spans="5:11" x14ac:dyDescent="0.25"/>
    <row r="47" spans="5:11" ht="20.100000000000001" customHeight="1" x14ac:dyDescent="0.25">
      <c r="E47" s="785" t="s">
        <v>410</v>
      </c>
      <c r="F47" s="785"/>
      <c r="G47" s="785"/>
      <c r="H47" s="785"/>
      <c r="I47" s="785"/>
      <c r="J47" s="785"/>
      <c r="K47" s="785"/>
    </row>
    <row r="48" spans="5:11" ht="20.100000000000001" customHeight="1" x14ac:dyDescent="0.25">
      <c r="E48" s="785" t="s">
        <v>188</v>
      </c>
      <c r="F48" s="682" t="s">
        <v>412</v>
      </c>
      <c r="G48" s="682" t="s">
        <v>413</v>
      </c>
      <c r="H48" s="682" t="s">
        <v>411</v>
      </c>
      <c r="I48" s="785" t="s">
        <v>190</v>
      </c>
      <c r="J48" s="785"/>
      <c r="K48" s="682" t="s">
        <v>1820</v>
      </c>
    </row>
    <row r="49" spans="5:11" ht="20.100000000000001" customHeight="1" x14ac:dyDescent="0.25">
      <c r="E49" s="785"/>
      <c r="F49" s="683"/>
      <c r="G49" s="683"/>
      <c r="H49" s="683"/>
      <c r="I49" s="54" t="s">
        <v>1818</v>
      </c>
      <c r="J49" s="54" t="s">
        <v>1819</v>
      </c>
      <c r="K49" s="683"/>
    </row>
    <row r="50" spans="5:11" x14ac:dyDescent="0.25">
      <c r="E50" s="262">
        <v>2013</v>
      </c>
      <c r="F50" s="263">
        <v>117231258</v>
      </c>
      <c r="G50" s="263">
        <v>82257239</v>
      </c>
      <c r="H50" s="263">
        <f>F50-G50</f>
        <v>34974019</v>
      </c>
      <c r="I50" s="74">
        <v>6315150</v>
      </c>
      <c r="J50" s="74">
        <v>13079206</v>
      </c>
      <c r="K50" s="264">
        <f>IFERROR(H50/(I50+J50),0)</f>
        <v>1.803309117353523</v>
      </c>
    </row>
    <row r="51" spans="5:11" x14ac:dyDescent="0.25">
      <c r="E51" s="94">
        <v>2014</v>
      </c>
      <c r="F51" s="265">
        <v>120820427</v>
      </c>
      <c r="G51" s="265">
        <v>81212499</v>
      </c>
      <c r="H51" s="265">
        <f>F51-G51</f>
        <v>39607928</v>
      </c>
      <c r="I51" s="65">
        <v>6649576</v>
      </c>
      <c r="J51" s="65">
        <v>14914914</v>
      </c>
      <c r="K51" s="266">
        <f>IFERROR(H51/(I51+J51),0)</f>
        <v>1.8367199038790158</v>
      </c>
    </row>
    <row r="52" spans="5:11" x14ac:dyDescent="0.25">
      <c r="E52" s="94">
        <v>2015</v>
      </c>
      <c r="F52" s="265">
        <v>125637098</v>
      </c>
      <c r="G52" s="265">
        <v>87774234</v>
      </c>
      <c r="H52" s="265">
        <f>F52-G52</f>
        <v>37862864</v>
      </c>
      <c r="I52" s="65">
        <v>7471456</v>
      </c>
      <c r="J52" s="65">
        <v>15681005</v>
      </c>
      <c r="K52" s="266">
        <f>IFERROR(H52/(I52+J52),0)</f>
        <v>1.6353710303194118</v>
      </c>
    </row>
    <row r="53" spans="5:11" x14ac:dyDescent="0.25">
      <c r="E53" s="94">
        <v>2016</v>
      </c>
      <c r="F53" s="265">
        <v>129586236</v>
      </c>
      <c r="G53" s="265">
        <v>87374581</v>
      </c>
      <c r="H53" s="265">
        <f>F53-G53</f>
        <v>42211655</v>
      </c>
      <c r="I53" s="65">
        <v>7786114</v>
      </c>
      <c r="J53" s="65">
        <v>16326522</v>
      </c>
      <c r="K53" s="266">
        <f>IFERROR(H53/(I53+J53),0)</f>
        <v>1.7506030862822297</v>
      </c>
    </row>
    <row r="54" spans="5:11" x14ac:dyDescent="0.25">
      <c r="E54" s="95">
        <v>2017</v>
      </c>
      <c r="F54" s="267">
        <v>141535097</v>
      </c>
      <c r="G54" s="267">
        <v>89747038</v>
      </c>
      <c r="H54" s="267">
        <f>F54-G54</f>
        <v>51788059</v>
      </c>
      <c r="I54" s="75">
        <v>8347466</v>
      </c>
      <c r="J54" s="75">
        <v>15404055</v>
      </c>
      <c r="K54" s="268">
        <f>IFERROR(H54/(I54+J54),0)</f>
        <v>2.1804102145711006</v>
      </c>
    </row>
    <row r="55" spans="5:11" x14ac:dyDescent="0.25"/>
    <row r="56" spans="5:11" hidden="1" x14ac:dyDescent="0.25"/>
  </sheetData>
  <sheetProtection password="90F3" sheet="1" objects="1" scenarios="1"/>
  <mergeCells count="29">
    <mergeCell ref="E10:H10"/>
    <mergeCell ref="E38:I38"/>
    <mergeCell ref="E39:E40"/>
    <mergeCell ref="F39:F40"/>
    <mergeCell ref="G39:H39"/>
    <mergeCell ref="I39:I40"/>
    <mergeCell ref="E8:F8"/>
    <mergeCell ref="E30:E31"/>
    <mergeCell ref="F30:F31"/>
    <mergeCell ref="G30:H30"/>
    <mergeCell ref="I30:I31"/>
    <mergeCell ref="E20:I20"/>
    <mergeCell ref="E21:E22"/>
    <mergeCell ref="F21:F22"/>
    <mergeCell ref="G21:H21"/>
    <mergeCell ref="I21:I22"/>
    <mergeCell ref="E29:I29"/>
    <mergeCell ref="E11:I11"/>
    <mergeCell ref="E12:E13"/>
    <mergeCell ref="F12:F13"/>
    <mergeCell ref="G12:H12"/>
    <mergeCell ref="I12:I13"/>
    <mergeCell ref="E47:K47"/>
    <mergeCell ref="E48:E49"/>
    <mergeCell ref="F48:F49"/>
    <mergeCell ref="G48:G49"/>
    <mergeCell ref="H48:H49"/>
    <mergeCell ref="I48:J48"/>
    <mergeCell ref="K48:K4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vt:i4>
      </vt:variant>
    </vt:vector>
  </HeadingPairs>
  <TitlesOfParts>
    <vt:vector size="37" baseType="lpstr">
      <vt:lpstr>General Info</vt:lpstr>
      <vt:lpstr>Statement of Net Position</vt:lpstr>
      <vt:lpstr>Statement of Activities</vt:lpstr>
      <vt:lpstr>Governmental Fund Balance Sheet</vt:lpstr>
      <vt:lpstr>Gov Fund Stmt of Rev Exp &amp; Bal</vt:lpstr>
      <vt:lpstr>Budget and Actual General Fund</vt:lpstr>
      <vt:lpstr>B&amp;A Community Redevelopment</vt:lpstr>
      <vt:lpstr>B&amp;A Downtown Redevelopment</vt:lpstr>
      <vt:lpstr>Budget and Actual Grants</vt:lpstr>
      <vt:lpstr>Prop Fund Stmt of Net Position</vt:lpstr>
      <vt:lpstr>Prop Fund Stmt Rev Exp &amp; Bal</vt:lpstr>
      <vt:lpstr>Stmt of Cash Flow - Prop Funds</vt:lpstr>
      <vt:lpstr>Footnotes 18-22</vt:lpstr>
      <vt:lpstr>TextBlock</vt:lpstr>
      <vt:lpstr>OPEB</vt:lpstr>
      <vt:lpstr>Taxonomy</vt:lpstr>
      <vt:lpstr>Stmt of dtl of Tax Abatements</vt:lpstr>
      <vt:lpstr>Combining Statement</vt:lpstr>
      <vt:lpstr>Pension Trust</vt:lpstr>
      <vt:lpstr>LONG - TERM OBLIGATIONS</vt:lpstr>
      <vt:lpstr>Footnotes</vt:lpstr>
      <vt:lpstr>RSI Employees' Retirement</vt:lpstr>
      <vt:lpstr>RSI Firefighters' Retirement</vt:lpstr>
      <vt:lpstr>RSI Police Officers Retirement </vt:lpstr>
      <vt:lpstr>RSI Pension Contributions</vt:lpstr>
      <vt:lpstr>Net Position By Component 10 Yr</vt:lpstr>
      <vt:lpstr>Changes in Net Position 10 Yr </vt:lpstr>
      <vt:lpstr>Fund Balances, Gov Funds 10 Yr</vt:lpstr>
      <vt:lpstr>Changes in Fund Balances 10Yr </vt:lpstr>
      <vt:lpstr>Ratio of Outstanding Debt 10Yr</vt:lpstr>
      <vt:lpstr>Ratio of Net Gen Bond Debt 10Yr</vt:lpstr>
      <vt:lpstr>Direct and Overlapping Debt</vt:lpstr>
      <vt:lpstr>Legal Debt Margin 10Yr</vt:lpstr>
      <vt:lpstr>Pledged-Revenue Coverage 5Yr</vt:lpstr>
      <vt:lpstr>FootnotesDocFileName</vt:lpstr>
      <vt:lpstr>Footnotes!Input_file</vt:lpstr>
      <vt:lpstr>UntaggedTextFileName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dc:creator>
  <cp:lastModifiedBy>Marc</cp:lastModifiedBy>
  <dcterms:created xsi:type="dcterms:W3CDTF">2018-03-22T12:29:17Z</dcterms:created>
  <dcterms:modified xsi:type="dcterms:W3CDTF">2018-07-03T15:57:59Z</dcterms:modified>
</cp:coreProperties>
</file>